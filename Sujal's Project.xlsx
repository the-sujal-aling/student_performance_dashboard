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sujal\OneDrive\Pictures\DATA ANALYTICS\Excel DB Projects\"/>
    </mc:Choice>
  </mc:AlternateContent>
  <xr:revisionPtr revIDLastSave="0" documentId="13_ncr:1_{286084D9-5AA9-4F5F-8C16-C3D43062E857}" xr6:coauthVersionLast="47" xr6:coauthVersionMax="47" xr10:uidLastSave="{00000000-0000-0000-0000-000000000000}"/>
  <bookViews>
    <workbookView xWindow="-108" yWindow="-108" windowWidth="23256" windowHeight="12456" activeTab="1" xr2:uid="{00000000-000D-0000-FFFF-FFFF00000000}"/>
  </bookViews>
  <sheets>
    <sheet name="Student Raw Data" sheetId="1" r:id="rId1"/>
    <sheet name="Dashboard" sheetId="3" r:id="rId2"/>
    <sheet name="Student_Pivot " sheetId="2" r:id="rId3"/>
  </sheets>
  <definedNames>
    <definedName name="_xlnm._FilterDatabase" localSheetId="0" hidden="1">'Student Raw Data'!$A$1:$Q$121</definedName>
    <definedName name="_xlchart.v1.0" hidden="1">'Student Raw Data'!$O$2:$O$121</definedName>
    <definedName name="Slicer_City">#N/A</definedName>
    <definedName name="Slicer_Course">#N/A</definedName>
    <definedName name="Slicer_Department">#N/A</definedName>
    <definedName name="Slicer_Semeste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7" i="2" l="1"/>
  <c r="C16" i="2"/>
  <c r="H12" i="2"/>
</calcChain>
</file>

<file path=xl/sharedStrings.xml><?xml version="1.0" encoding="utf-8"?>
<sst xmlns="http://schemas.openxmlformats.org/spreadsheetml/2006/main" count="892" uniqueCount="292">
  <si>
    <t>Student_ID</t>
  </si>
  <si>
    <t>Student_Name</t>
  </si>
  <si>
    <t>Age</t>
  </si>
  <si>
    <t>Gender</t>
  </si>
  <si>
    <t>Course</t>
  </si>
  <si>
    <t>Department</t>
  </si>
  <si>
    <t>Semester</t>
  </si>
  <si>
    <t>City</t>
  </si>
  <si>
    <t>Attendance_Percent</t>
  </si>
  <si>
    <t>Maths_Marks</t>
  </si>
  <si>
    <t>SQL_Marks</t>
  </si>
  <si>
    <t>Python_Marks</t>
  </si>
  <si>
    <t>Excel_Marks</t>
  </si>
  <si>
    <t>Communication_Marks</t>
  </si>
  <si>
    <t>Average_Marks</t>
  </si>
  <si>
    <t>Result_Status</t>
  </si>
  <si>
    <t>Roll_Number</t>
  </si>
  <si>
    <t>Aarav Sharma</t>
  </si>
  <si>
    <t>Male</t>
  </si>
  <si>
    <t>BMS</t>
  </si>
  <si>
    <t>Commerce</t>
  </si>
  <si>
    <t>Pune</t>
  </si>
  <si>
    <t>Pass</t>
  </si>
  <si>
    <t>STU0001</t>
  </si>
  <si>
    <t>Aditi Patel</t>
  </si>
  <si>
    <t>Female</t>
  </si>
  <si>
    <t>BSc IT</t>
  </si>
  <si>
    <t>Arts</t>
  </si>
  <si>
    <t>Dombivli</t>
  </si>
  <si>
    <t>STU0002</t>
  </si>
  <si>
    <t>Akash Mehta</t>
  </si>
  <si>
    <t>Computer Science</t>
  </si>
  <si>
    <t>Thane</t>
  </si>
  <si>
    <t>STU0003</t>
  </si>
  <si>
    <t>Ananya Desai</t>
  </si>
  <si>
    <t>Management</t>
  </si>
  <si>
    <t>Vasai</t>
  </si>
  <si>
    <t>STU0004</t>
  </si>
  <si>
    <t>Arjun Joshi</t>
  </si>
  <si>
    <t>IT</t>
  </si>
  <si>
    <t>Panvel</t>
  </si>
  <si>
    <t>STU0005</t>
  </si>
  <si>
    <t>Diya Shah</t>
  </si>
  <si>
    <t>Navi Mumbai</t>
  </si>
  <si>
    <t>STU0006</t>
  </si>
  <si>
    <t>Ishaan Kulkarni</t>
  </si>
  <si>
    <t>BA</t>
  </si>
  <si>
    <t>Kalyan</t>
  </si>
  <si>
    <t>STU0007</t>
  </si>
  <si>
    <t>Kavya Nair</t>
  </si>
  <si>
    <t>BCA</t>
  </si>
  <si>
    <t>Mumbai</t>
  </si>
  <si>
    <t>STU0008</t>
  </si>
  <si>
    <t>Krish Gupta</t>
  </si>
  <si>
    <t>STU0009</t>
  </si>
  <si>
    <t>Meera Rao</t>
  </si>
  <si>
    <t>STU0010</t>
  </si>
  <si>
    <t>Neha Iyer</t>
  </si>
  <si>
    <t>Needs Improvement</t>
  </si>
  <si>
    <t>STU0011</t>
  </si>
  <si>
    <t>Om Singh</t>
  </si>
  <si>
    <t>STU0012</t>
  </si>
  <si>
    <t>Priya More</t>
  </si>
  <si>
    <t>STU0013</t>
  </si>
  <si>
    <t>Rahul Verma</t>
  </si>
  <si>
    <t>BCom</t>
  </si>
  <si>
    <t>STU0014</t>
  </si>
  <si>
    <t>Riya Khan</t>
  </si>
  <si>
    <t>BSc Computer Science</t>
  </si>
  <si>
    <t>STU0015</t>
  </si>
  <si>
    <t>Saanvi Pawar</t>
  </si>
  <si>
    <t>STU0016</t>
  </si>
  <si>
    <t>Tara Bhat</t>
  </si>
  <si>
    <t>STU0017</t>
  </si>
  <si>
    <t>Vivaan Menon</t>
  </si>
  <si>
    <t>STU0018</t>
  </si>
  <si>
    <t>Yash Sawant</t>
  </si>
  <si>
    <t>STU0019</t>
  </si>
  <si>
    <t>Zoya Thakur</t>
  </si>
  <si>
    <t>STU0020</t>
  </si>
  <si>
    <t>Aarav Patel</t>
  </si>
  <si>
    <t>STU0021</t>
  </si>
  <si>
    <t>Aditi Mehta</t>
  </si>
  <si>
    <t>STU0022</t>
  </si>
  <si>
    <t>Akash Desai</t>
  </si>
  <si>
    <t>STU0023</t>
  </si>
  <si>
    <t>Ananya Joshi</t>
  </si>
  <si>
    <t>STU0024</t>
  </si>
  <si>
    <t>Arjun Shah</t>
  </si>
  <si>
    <t>STU0025</t>
  </si>
  <si>
    <t>Diya Kulkarni</t>
  </si>
  <si>
    <t>STU0026</t>
  </si>
  <si>
    <t>Ishaan Nair</t>
  </si>
  <si>
    <t>STU0027</t>
  </si>
  <si>
    <t>Kavya Gupta</t>
  </si>
  <si>
    <t>STU0028</t>
  </si>
  <si>
    <t>Krish Rao</t>
  </si>
  <si>
    <t>STU0029</t>
  </si>
  <si>
    <t>Meera Iyer</t>
  </si>
  <si>
    <t>STU0030</t>
  </si>
  <si>
    <t>Neha Singh</t>
  </si>
  <si>
    <t>STU0031</t>
  </si>
  <si>
    <t>Om More</t>
  </si>
  <si>
    <t>STU0032</t>
  </si>
  <si>
    <t>Priya Verma</t>
  </si>
  <si>
    <t>STU0033</t>
  </si>
  <si>
    <t>Rahul Khan</t>
  </si>
  <si>
    <t>STU0034</t>
  </si>
  <si>
    <t>Riya Pawar</t>
  </si>
  <si>
    <t>STU0035</t>
  </si>
  <si>
    <t>Saanvi Bhat</t>
  </si>
  <si>
    <t>STU0036</t>
  </si>
  <si>
    <t>Tara Menon</t>
  </si>
  <si>
    <t>STU0037</t>
  </si>
  <si>
    <t>Vivaan Sawant</t>
  </si>
  <si>
    <t>STU0038</t>
  </si>
  <si>
    <t>Yash Thakur</t>
  </si>
  <si>
    <t>STU0039</t>
  </si>
  <si>
    <t>Zoya Sharma</t>
  </si>
  <si>
    <t>STU0040</t>
  </si>
  <si>
    <t>Aarav Mehta</t>
  </si>
  <si>
    <t>STU0041</t>
  </si>
  <si>
    <t>Aditi Desai</t>
  </si>
  <si>
    <t>STU0042</t>
  </si>
  <si>
    <t>Akash Joshi</t>
  </si>
  <si>
    <t>STU0043</t>
  </si>
  <si>
    <t>Ananya Shah</t>
  </si>
  <si>
    <t>STU0044</t>
  </si>
  <si>
    <t>Arjun Kulkarni</t>
  </si>
  <si>
    <t>STU0045</t>
  </si>
  <si>
    <t>Diya Nair</t>
  </si>
  <si>
    <t>STU0046</t>
  </si>
  <si>
    <t>Ishaan Gupta</t>
  </si>
  <si>
    <t>STU0047</t>
  </si>
  <si>
    <t>Kavya Rao</t>
  </si>
  <si>
    <t>STU0048</t>
  </si>
  <si>
    <t>Krish Iyer</t>
  </si>
  <si>
    <t>STU0049</t>
  </si>
  <si>
    <t>Meera Singh</t>
  </si>
  <si>
    <t>STU0050</t>
  </si>
  <si>
    <t>Neha More</t>
  </si>
  <si>
    <t>STU0051</t>
  </si>
  <si>
    <t>Om Verma</t>
  </si>
  <si>
    <t>STU0052</t>
  </si>
  <si>
    <t>Priya Khan</t>
  </si>
  <si>
    <t>STU0053</t>
  </si>
  <si>
    <t>Rahul Pawar</t>
  </si>
  <si>
    <t>STU0054</t>
  </si>
  <si>
    <t>Riya Bhat</t>
  </si>
  <si>
    <t>STU0055</t>
  </si>
  <si>
    <t>Saanvi Menon</t>
  </si>
  <si>
    <t>STU0056</t>
  </si>
  <si>
    <t>Tara Sawant</t>
  </si>
  <si>
    <t>STU0057</t>
  </si>
  <si>
    <t>Vivaan Thakur</t>
  </si>
  <si>
    <t>STU0058</t>
  </si>
  <si>
    <t>Yash Sharma</t>
  </si>
  <si>
    <t>STU0059</t>
  </si>
  <si>
    <t>Zoya Patel</t>
  </si>
  <si>
    <t>STU0060</t>
  </si>
  <si>
    <t>Aarav Desai</t>
  </si>
  <si>
    <t>STU0061</t>
  </si>
  <si>
    <t>Aditi Joshi</t>
  </si>
  <si>
    <t>STU0062</t>
  </si>
  <si>
    <t>Akash Shah</t>
  </si>
  <si>
    <t>STU0063</t>
  </si>
  <si>
    <t>Ananya Kulkarni</t>
  </si>
  <si>
    <t>STU0064</t>
  </si>
  <si>
    <t>Arjun Nair</t>
  </si>
  <si>
    <t>STU0065</t>
  </si>
  <si>
    <t>Diya Gupta</t>
  </si>
  <si>
    <t>STU0066</t>
  </si>
  <si>
    <t>Ishaan Rao</t>
  </si>
  <si>
    <t>STU0067</t>
  </si>
  <si>
    <t>Kavya Iyer</t>
  </si>
  <si>
    <t>STU0068</t>
  </si>
  <si>
    <t>Krish Singh</t>
  </si>
  <si>
    <t>STU0069</t>
  </si>
  <si>
    <t>Meera More</t>
  </si>
  <si>
    <t>STU0070</t>
  </si>
  <si>
    <t>Neha Verma</t>
  </si>
  <si>
    <t>STU0071</t>
  </si>
  <si>
    <t>Om Khan</t>
  </si>
  <si>
    <t>STU0072</t>
  </si>
  <si>
    <t>Priya Pawar</t>
  </si>
  <si>
    <t>STU0073</t>
  </si>
  <si>
    <t>Rahul Bhat</t>
  </si>
  <si>
    <t>STU0074</t>
  </si>
  <si>
    <t>Riya Menon</t>
  </si>
  <si>
    <t>STU0075</t>
  </si>
  <si>
    <t>Saanvi Sawant</t>
  </si>
  <si>
    <t>STU0076</t>
  </si>
  <si>
    <t>Tara Thakur</t>
  </si>
  <si>
    <t>STU0077</t>
  </si>
  <si>
    <t>Vivaan Sharma</t>
  </si>
  <si>
    <t>STU0078</t>
  </si>
  <si>
    <t>Yash Patel</t>
  </si>
  <si>
    <t>STU0079</t>
  </si>
  <si>
    <t>Zoya Mehta</t>
  </si>
  <si>
    <t>STU0080</t>
  </si>
  <si>
    <t>Aarav Joshi</t>
  </si>
  <si>
    <t>STU0081</t>
  </si>
  <si>
    <t>Aditi Shah</t>
  </si>
  <si>
    <t>STU0082</t>
  </si>
  <si>
    <t>Akash Kulkarni</t>
  </si>
  <si>
    <t>STU0083</t>
  </si>
  <si>
    <t>Ananya Nair</t>
  </si>
  <si>
    <t>STU0084</t>
  </si>
  <si>
    <t>Arjun Gupta</t>
  </si>
  <si>
    <t>STU0085</t>
  </si>
  <si>
    <t>Diya Rao</t>
  </si>
  <si>
    <t>STU0086</t>
  </si>
  <si>
    <t>Ishaan Iyer</t>
  </si>
  <si>
    <t>STU0087</t>
  </si>
  <si>
    <t>Kavya Singh</t>
  </si>
  <si>
    <t>STU0088</t>
  </si>
  <si>
    <t>Krish More</t>
  </si>
  <si>
    <t>STU0089</t>
  </si>
  <si>
    <t>Meera Verma</t>
  </si>
  <si>
    <t>STU0090</t>
  </si>
  <si>
    <t>Neha Khan</t>
  </si>
  <si>
    <t>STU0091</t>
  </si>
  <si>
    <t>Om Pawar</t>
  </si>
  <si>
    <t>STU0092</t>
  </si>
  <si>
    <t>Priya Bhat</t>
  </si>
  <si>
    <t>STU0093</t>
  </si>
  <si>
    <t>Rahul Menon</t>
  </si>
  <si>
    <t>STU0094</t>
  </si>
  <si>
    <t>Riya Sawant</t>
  </si>
  <si>
    <t>STU0095</t>
  </si>
  <si>
    <t>Saanvi Thakur</t>
  </si>
  <si>
    <t>STU0096</t>
  </si>
  <si>
    <t>Tara Sharma</t>
  </si>
  <si>
    <t>STU0097</t>
  </si>
  <si>
    <t>Vivaan Patel</t>
  </si>
  <si>
    <t>STU0098</t>
  </si>
  <si>
    <t>Yash Mehta</t>
  </si>
  <si>
    <t>STU0099</t>
  </si>
  <si>
    <t>Zoya Desai</t>
  </si>
  <si>
    <t>STU0100</t>
  </si>
  <si>
    <t>Aarav Shah</t>
  </si>
  <si>
    <t>STU0101</t>
  </si>
  <si>
    <t>Aditi Kulkarni</t>
  </si>
  <si>
    <t>STU0102</t>
  </si>
  <si>
    <t>Akash Nair</t>
  </si>
  <si>
    <t>STU0103</t>
  </si>
  <si>
    <t>Ananya Gupta</t>
  </si>
  <si>
    <t>STU0104</t>
  </si>
  <si>
    <t>Arjun Rao</t>
  </si>
  <si>
    <t>STU0105</t>
  </si>
  <si>
    <t>Diya Iyer</t>
  </si>
  <si>
    <t>STU0106</t>
  </si>
  <si>
    <t>Ishaan Singh</t>
  </si>
  <si>
    <t>STU0107</t>
  </si>
  <si>
    <t>Kavya More</t>
  </si>
  <si>
    <t>STU0108</t>
  </si>
  <si>
    <t>Krish Verma</t>
  </si>
  <si>
    <t>STU0109</t>
  </si>
  <si>
    <t>Meera Khan</t>
  </si>
  <si>
    <t>STU0110</t>
  </si>
  <si>
    <t>Neha Pawar</t>
  </si>
  <si>
    <t>STU0111</t>
  </si>
  <si>
    <t>Om Bhat</t>
  </si>
  <si>
    <t>STU0112</t>
  </si>
  <si>
    <t>Priya Menon</t>
  </si>
  <si>
    <t>STU0113</t>
  </si>
  <si>
    <t>Rahul Sawant</t>
  </si>
  <si>
    <t>STU0114</t>
  </si>
  <si>
    <t>Riya Thakur</t>
  </si>
  <si>
    <t>STU0115</t>
  </si>
  <si>
    <t>Saanvi Sharma</t>
  </si>
  <si>
    <t>STU0116</t>
  </si>
  <si>
    <t>Tara Patel</t>
  </si>
  <si>
    <t>STU0117</t>
  </si>
  <si>
    <t>Vivaan Mehta</t>
  </si>
  <si>
    <t>STU0118</t>
  </si>
  <si>
    <t>Yash Desai</t>
  </si>
  <si>
    <t>STU0119</t>
  </si>
  <si>
    <t>Zoya Joshi</t>
  </si>
  <si>
    <t>STU0120</t>
  </si>
  <si>
    <t>Row Labels</t>
  </si>
  <si>
    <t>Grand Total</t>
  </si>
  <si>
    <t>Average of Average_Marks</t>
  </si>
  <si>
    <t>Count of Student_ID</t>
  </si>
  <si>
    <t>Average of Maths_Marks</t>
  </si>
  <si>
    <t>Average of SQL_Marks</t>
  </si>
  <si>
    <t>Average of Python_Marks</t>
  </si>
  <si>
    <t>Average of Communication_Marks</t>
  </si>
  <si>
    <t>Average of Excel_Marks</t>
  </si>
  <si>
    <t>Average of Attendance_Percent</t>
  </si>
  <si>
    <t>Pass Rate</t>
  </si>
  <si>
    <t>Max of Average_Marks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</si>
</sst>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
    <numFmt numFmtId="166" formatCode="0.00\%"/>
    <numFmt numFmtId="167" formatCode="0\%"/>
  </numFmts>
  <fonts count="4" x14ac:knownFonts="1">
    <font>
      <sz val="11"/>
      <color theme="1"/>
      <name val="Calibri"/>
      <family val="2"/>
      <scheme val="minor"/>
    </font>
    <font>
      <b/>
      <sz val="11"/>
      <color rgb="FFFFFFFF"/>
      <name val="Calibri"/>
    </font>
    <font>
      <sz val="11"/>
      <color theme="1"/>
      <name val="Bahnschrift SemiBold SemiConden"/>
      <family val="2"/>
    </font>
    <font>
      <sz val="11"/>
      <color theme="1"/>
      <name val="Calibri"/>
      <family val="2"/>
      <scheme val="minor"/>
    </font>
  </fonts>
  <fills count="5">
    <fill>
      <patternFill patternType="none"/>
    </fill>
    <fill>
      <patternFill patternType="gray125"/>
    </fill>
    <fill>
      <patternFill patternType="solid">
        <fgColor rgb="FF1F4E78"/>
      </patternFill>
    </fill>
    <fill>
      <patternFill patternType="solid">
        <fgColor theme="3" tint="0.79998168889431442"/>
        <bgColor indexed="64"/>
      </patternFill>
    </fill>
    <fill>
      <patternFill patternType="solid">
        <fgColor theme="0"/>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3" fillId="0" borderId="0" applyFont="0" applyFill="0" applyBorder="0" applyAlignment="0" applyProtection="0"/>
  </cellStyleXfs>
  <cellXfs count="11">
    <xf numFmtId="0" fontId="0" fillId="0" borderId="0" xfId="0"/>
    <xf numFmtId="0" fontId="1" fillId="2" borderId="1" xfId="0" applyFont="1" applyFill="1" applyBorder="1" applyAlignment="1">
      <alignment horizontal="center" vertical="center" wrapText="1"/>
    </xf>
    <xf numFmtId="0" fontId="0" fillId="0" borderId="0" xfId="0" pivotButton="1"/>
    <xf numFmtId="0" fontId="0" fillId="0" borderId="0" xfId="0" applyAlignment="1">
      <alignment horizontal="left"/>
    </xf>
    <xf numFmtId="0" fontId="2" fillId="0" borderId="0" xfId="0" applyFont="1"/>
    <xf numFmtId="9" fontId="0" fillId="0" borderId="0" xfId="1" applyFont="1"/>
    <xf numFmtId="166" fontId="0" fillId="0" borderId="0" xfId="0" applyNumberFormat="1"/>
    <xf numFmtId="0" fontId="0" fillId="3" borderId="0" xfId="0" applyFill="1"/>
    <xf numFmtId="0" fontId="0" fillId="4" borderId="0" xfId="0" applyFill="1"/>
    <xf numFmtId="167" fontId="0" fillId="0" borderId="0" xfId="1" applyNumberFormat="1" applyFont="1"/>
    <xf numFmtId="0" fontId="0" fillId="0" borderId="0" xfId="0" applyNumberFormat="1"/>
  </cellXfs>
  <cellStyles count="2">
    <cellStyle name="Normal" xfId="0" builtinId="0"/>
    <cellStyle name="Percent" xfId="1" builtinId="5"/>
  </cellStyles>
  <dxfs count="54">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border outline="0">
        <top style="thin">
          <color auto="1"/>
        </top>
      </border>
    </dxf>
    <dxf>
      <border outline="0">
        <bottom style="thin">
          <color auto="1"/>
        </bottom>
      </border>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[Sujal's Project.xlsx]Student_Pivot !PivotTable1</c:name>
    <c:fmtId val="3"/>
  </c:pivotSource>
  <c:chart>
    <c:title>
      <c:tx>
        <c:rich>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r>
              <a:rPr lang="en-IN" sz="900" b="1" u="sng">
                <a:solidFill>
                  <a:schemeClr val="tx1"/>
                </a:solidFill>
              </a:rPr>
              <a:t>Subject</a:t>
            </a:r>
            <a:r>
              <a:rPr lang="en-IN" sz="900" b="1" u="sng" baseline="0">
                <a:solidFill>
                  <a:schemeClr val="tx1"/>
                </a:solidFill>
              </a:rPr>
              <a:t> Performance</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599398757534093E-2"/>
          <c:y val="0.2042237487701323"/>
          <c:w val="0.9057544158385753"/>
          <c:h val="0.60072904412641881"/>
        </c:manualLayout>
      </c:layout>
      <c:barChart>
        <c:barDir val="col"/>
        <c:grouping val="clustered"/>
        <c:varyColors val="0"/>
        <c:ser>
          <c:idx val="5"/>
          <c:order val="0"/>
          <c:tx>
            <c:strRef>
              <c:f>'Student_Pivot '!$B$2</c:f>
              <c:strCache>
                <c:ptCount val="1"/>
                <c:pt idx="0">
                  <c:v>Average of SQL_Marks</c:v>
                </c:pt>
              </c:strCache>
            </c:strRef>
          </c:tx>
          <c:spPr>
            <a:solidFill>
              <a:schemeClr val="accent6"/>
            </a:solidFill>
            <a:ln>
              <a:noFill/>
            </a:ln>
            <a:effectLst/>
          </c:spPr>
          <c:invertIfNegative val="0"/>
          <c:cat>
            <c:strRef>
              <c:f>'Student_Pivot '!$A$3:$A$8</c:f>
              <c:strCache>
                <c:ptCount val="5"/>
                <c:pt idx="0">
                  <c:v>Arts</c:v>
                </c:pt>
                <c:pt idx="1">
                  <c:v>Commerce</c:v>
                </c:pt>
                <c:pt idx="2">
                  <c:v>Computer Science</c:v>
                </c:pt>
                <c:pt idx="3">
                  <c:v>IT</c:v>
                </c:pt>
                <c:pt idx="4">
                  <c:v>Management</c:v>
                </c:pt>
              </c:strCache>
            </c:strRef>
          </c:cat>
          <c:val>
            <c:numRef>
              <c:f>'Student_Pivot '!$B$3:$B$8</c:f>
              <c:numCache>
                <c:formatCode>General</c:formatCode>
                <c:ptCount val="5"/>
                <c:pt idx="0">
                  <c:v>63.916666666666664</c:v>
                </c:pt>
                <c:pt idx="1">
                  <c:v>62.75</c:v>
                </c:pt>
                <c:pt idx="2">
                  <c:v>65.083333333333329</c:v>
                </c:pt>
                <c:pt idx="3">
                  <c:v>67.416666666666671</c:v>
                </c:pt>
                <c:pt idx="4">
                  <c:v>66.25</c:v>
                </c:pt>
              </c:numCache>
            </c:numRef>
          </c:val>
          <c:extLst>
            <c:ext xmlns:c16="http://schemas.microsoft.com/office/drawing/2014/chart" uri="{C3380CC4-5D6E-409C-BE32-E72D297353CC}">
              <c16:uniqueId val="{00000011-7042-49CB-9DA3-7BB41CD19F6C}"/>
            </c:ext>
          </c:extLst>
        </c:ser>
        <c:ser>
          <c:idx val="6"/>
          <c:order val="1"/>
          <c:tx>
            <c:strRef>
              <c:f>'Student_Pivot '!$C$2</c:f>
              <c:strCache>
                <c:ptCount val="1"/>
                <c:pt idx="0">
                  <c:v>Average of Python_Marks</c:v>
                </c:pt>
              </c:strCache>
            </c:strRef>
          </c:tx>
          <c:spPr>
            <a:solidFill>
              <a:schemeClr val="accent1">
                <a:lumMod val="60000"/>
              </a:schemeClr>
            </a:solidFill>
            <a:ln>
              <a:noFill/>
            </a:ln>
            <a:effectLst/>
          </c:spPr>
          <c:invertIfNegative val="0"/>
          <c:cat>
            <c:strRef>
              <c:f>'Student_Pivot '!$A$3:$A$8</c:f>
              <c:strCache>
                <c:ptCount val="5"/>
                <c:pt idx="0">
                  <c:v>Arts</c:v>
                </c:pt>
                <c:pt idx="1">
                  <c:v>Commerce</c:v>
                </c:pt>
                <c:pt idx="2">
                  <c:v>Computer Science</c:v>
                </c:pt>
                <c:pt idx="3">
                  <c:v>IT</c:v>
                </c:pt>
                <c:pt idx="4">
                  <c:v>Management</c:v>
                </c:pt>
              </c:strCache>
            </c:strRef>
          </c:cat>
          <c:val>
            <c:numRef>
              <c:f>'Student_Pivot '!$C$3:$C$8</c:f>
              <c:numCache>
                <c:formatCode>General</c:formatCode>
                <c:ptCount val="5"/>
                <c:pt idx="0">
                  <c:v>68.875</c:v>
                </c:pt>
                <c:pt idx="1">
                  <c:v>66.25</c:v>
                </c:pt>
                <c:pt idx="2">
                  <c:v>68.625</c:v>
                </c:pt>
                <c:pt idx="3">
                  <c:v>65.25</c:v>
                </c:pt>
                <c:pt idx="4">
                  <c:v>65.5</c:v>
                </c:pt>
              </c:numCache>
            </c:numRef>
          </c:val>
          <c:extLst>
            <c:ext xmlns:c16="http://schemas.microsoft.com/office/drawing/2014/chart" uri="{C3380CC4-5D6E-409C-BE32-E72D297353CC}">
              <c16:uniqueId val="{00000012-7042-49CB-9DA3-7BB41CD19F6C}"/>
            </c:ext>
          </c:extLst>
        </c:ser>
        <c:ser>
          <c:idx val="7"/>
          <c:order val="2"/>
          <c:tx>
            <c:strRef>
              <c:f>'Student_Pivot '!$D$2</c:f>
              <c:strCache>
                <c:ptCount val="1"/>
                <c:pt idx="0">
                  <c:v>Average of Excel_Marks</c:v>
                </c:pt>
              </c:strCache>
            </c:strRef>
          </c:tx>
          <c:spPr>
            <a:solidFill>
              <a:schemeClr val="accent2">
                <a:lumMod val="60000"/>
              </a:schemeClr>
            </a:solidFill>
            <a:ln>
              <a:noFill/>
            </a:ln>
            <a:effectLst/>
          </c:spPr>
          <c:invertIfNegative val="0"/>
          <c:cat>
            <c:strRef>
              <c:f>'Student_Pivot '!$A$3:$A$8</c:f>
              <c:strCache>
                <c:ptCount val="5"/>
                <c:pt idx="0">
                  <c:v>Arts</c:v>
                </c:pt>
                <c:pt idx="1">
                  <c:v>Commerce</c:v>
                </c:pt>
                <c:pt idx="2">
                  <c:v>Computer Science</c:v>
                </c:pt>
                <c:pt idx="3">
                  <c:v>IT</c:v>
                </c:pt>
                <c:pt idx="4">
                  <c:v>Management</c:v>
                </c:pt>
              </c:strCache>
            </c:strRef>
          </c:cat>
          <c:val>
            <c:numRef>
              <c:f>'Student_Pivot '!$D$3:$D$8</c:f>
              <c:numCache>
                <c:formatCode>General</c:formatCode>
                <c:ptCount val="5"/>
                <c:pt idx="0">
                  <c:v>72.5</c:v>
                </c:pt>
                <c:pt idx="1">
                  <c:v>68.75</c:v>
                </c:pt>
                <c:pt idx="2">
                  <c:v>71.166666666666671</c:v>
                </c:pt>
                <c:pt idx="3">
                  <c:v>68.5</c:v>
                </c:pt>
                <c:pt idx="4">
                  <c:v>69.833333333333329</c:v>
                </c:pt>
              </c:numCache>
            </c:numRef>
          </c:val>
          <c:extLst>
            <c:ext xmlns:c16="http://schemas.microsoft.com/office/drawing/2014/chart" uri="{C3380CC4-5D6E-409C-BE32-E72D297353CC}">
              <c16:uniqueId val="{00000013-7042-49CB-9DA3-7BB41CD19F6C}"/>
            </c:ext>
          </c:extLst>
        </c:ser>
        <c:dLbls>
          <c:showLegendKey val="0"/>
          <c:showVal val="0"/>
          <c:showCatName val="0"/>
          <c:showSerName val="0"/>
          <c:showPercent val="0"/>
          <c:showBubbleSize val="0"/>
        </c:dLbls>
        <c:gapWidth val="219"/>
        <c:overlap val="-27"/>
        <c:axId val="847245647"/>
        <c:axId val="787590735"/>
      </c:barChart>
      <c:catAx>
        <c:axId val="84724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590735"/>
        <c:crosses val="autoZero"/>
        <c:auto val="1"/>
        <c:lblAlgn val="ctr"/>
        <c:lblOffset val="100"/>
        <c:noMultiLvlLbl val="0"/>
      </c:catAx>
      <c:valAx>
        <c:axId val="787590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245647"/>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[Sujal's Project.xlsx]Student_Pivot !PivotTable2</c:name>
    <c:fmtId val="3"/>
  </c:pivotSource>
  <c:chart>
    <c:title>
      <c:tx>
        <c:rich>
          <a:bodyPr rot="0" spcFirstLastPara="1" vertOverflow="ellipsis" vert="horz" wrap="square" anchor="ctr" anchorCtr="1"/>
          <a:lstStyle/>
          <a:p>
            <a:pPr>
              <a:defRPr sz="900" b="0" i="0" u="none" strike="noStrike" kern="1200" spc="0" baseline="0">
                <a:solidFill>
                  <a:schemeClr val="tx1"/>
                </a:solidFill>
                <a:latin typeface="+mn-lt"/>
                <a:ea typeface="+mn-ea"/>
                <a:cs typeface="+mn-cs"/>
              </a:defRPr>
            </a:pPr>
            <a:r>
              <a:rPr lang="en-US" sz="900" b="1" u="sng">
                <a:solidFill>
                  <a:schemeClr val="tx1"/>
                </a:solidFill>
              </a:rPr>
              <a:t>Count</a:t>
            </a:r>
            <a:r>
              <a:rPr lang="en-US" sz="900" b="1" u="sng" baseline="0">
                <a:solidFill>
                  <a:schemeClr val="tx1"/>
                </a:solidFill>
              </a:rPr>
              <a:t> of Student</a:t>
            </a:r>
            <a:endParaRPr lang="en-US" sz="900" b="1" u="sng">
              <a:solidFill>
                <a:schemeClr val="tx1"/>
              </a:solidFill>
            </a:endParaRPr>
          </a:p>
        </c:rich>
      </c:tx>
      <c:layout>
        <c:manualLayout>
          <c:xMode val="edge"/>
          <c:yMode val="edge"/>
          <c:x val="0.40843624208849078"/>
          <c:y val="0.10266073757791459"/>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pivotFmt>
      <c:pivotFmt>
        <c:idx val="3"/>
        <c:spPr>
          <a:solidFill>
            <a:schemeClr val="accent4"/>
          </a:solidFill>
          <a:ln>
            <a:noFill/>
          </a:ln>
          <a:effectLst/>
        </c:spPr>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pivotFmt>
      <c:pivotFmt>
        <c:idx val="6"/>
        <c:spPr>
          <a:solidFill>
            <a:schemeClr val="accent4"/>
          </a:solidFill>
          <a:ln>
            <a:noFill/>
          </a:ln>
          <a:effectLst/>
        </c:spPr>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pivotFmt>
      <c:pivotFmt>
        <c:idx val="9"/>
        <c:spPr>
          <a:solidFill>
            <a:schemeClr val="accent4"/>
          </a:solidFill>
          <a:ln>
            <a:noFill/>
          </a:ln>
          <a:effectLst/>
        </c:spPr>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pivotFmt>
      <c:pivotFmt>
        <c:idx val="12"/>
        <c:spPr>
          <a:solidFill>
            <a:schemeClr val="accent4"/>
          </a:solidFill>
          <a:ln>
            <a:noFill/>
          </a:ln>
          <a:effectLst/>
        </c:spPr>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pivotFmt>
      <c:pivotFmt>
        <c:idx val="15"/>
        <c:spPr>
          <a:solidFill>
            <a:schemeClr val="accent4"/>
          </a:solidFill>
          <a:ln>
            <a:noFill/>
          </a:ln>
          <a:effectLst/>
        </c:spPr>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pivotFmt>
      <c:pivotFmt>
        <c:idx val="18"/>
        <c:spPr>
          <a:solidFill>
            <a:schemeClr val="accent4"/>
          </a:solidFill>
          <a:ln>
            <a:noFill/>
          </a:ln>
          <a:effectLst/>
        </c:spPr>
      </c:pivotFmt>
      <c:pivotFmt>
        <c:idx val="1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pivotFmt>
      <c:pivotFmt>
        <c:idx val="21"/>
        <c:spPr>
          <a:solidFill>
            <a:schemeClr val="accent4"/>
          </a:solidFill>
          <a:ln>
            <a:noFill/>
          </a:ln>
          <a:effectLst/>
        </c:spPr>
      </c:pivotFmt>
    </c:pivotFmts>
    <c:plotArea>
      <c:layout/>
      <c:doughnutChart>
        <c:varyColors val="1"/>
        <c:ser>
          <c:idx val="1"/>
          <c:order val="0"/>
          <c:tx>
            <c:strRef>
              <c:f>'Student_Pivot '!$B$10</c:f>
              <c:strCache>
                <c:ptCount val="1"/>
                <c:pt idx="0">
                  <c:v>Total</c:v>
                </c:pt>
              </c:strCache>
            </c:strRef>
          </c:tx>
          <c:dPt>
            <c:idx val="0"/>
            <c:bubble3D val="0"/>
            <c:spPr>
              <a:solidFill>
                <a:schemeClr val="accent4">
                  <a:tint val="77000"/>
                </a:schemeClr>
              </a:solidFill>
              <a:ln>
                <a:noFill/>
              </a:ln>
              <a:effectLst/>
            </c:spPr>
            <c:extLst>
              <c:ext xmlns:c16="http://schemas.microsoft.com/office/drawing/2014/chart" uri="{C3380CC4-5D6E-409C-BE32-E72D297353CC}">
                <c16:uniqueId val="{00000001-1C10-4701-8A7C-CAEE28BC74B2}"/>
              </c:ext>
            </c:extLst>
          </c:dPt>
          <c:dPt>
            <c:idx val="1"/>
            <c:bubble3D val="0"/>
            <c:spPr>
              <a:solidFill>
                <a:schemeClr val="accent4">
                  <a:shade val="76000"/>
                </a:schemeClr>
              </a:solidFill>
              <a:ln>
                <a:noFill/>
              </a:ln>
              <a:effectLst/>
            </c:spPr>
            <c:extLst>
              <c:ext xmlns:c16="http://schemas.microsoft.com/office/drawing/2014/chart" uri="{C3380CC4-5D6E-409C-BE32-E72D297353CC}">
                <c16:uniqueId val="{0000000D-3BBC-444C-AD86-4CC389B646C8}"/>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shade val="95000"/>
                      <a:satMod val="105000"/>
                    </a:schemeClr>
                  </a:solidFill>
                  <a:prstDash val="solid"/>
                  <a:round/>
                </a:ln>
                <a:effectLst/>
              </c:spPr>
            </c:leaderLines>
            <c:extLst>
              <c:ext xmlns:c15="http://schemas.microsoft.com/office/drawing/2012/chart" uri="{CE6537A1-D6FC-4f65-9D91-7224C49458BB}"/>
            </c:extLst>
          </c:dLbls>
          <c:cat>
            <c:strRef>
              <c:f>'Student_Pivot '!$A$11:$A$13</c:f>
              <c:strCache>
                <c:ptCount val="2"/>
                <c:pt idx="0">
                  <c:v>Needs Improvement</c:v>
                </c:pt>
                <c:pt idx="1">
                  <c:v>Pass</c:v>
                </c:pt>
              </c:strCache>
            </c:strRef>
          </c:cat>
          <c:val>
            <c:numRef>
              <c:f>'Student_Pivot '!$B$11:$B$13</c:f>
              <c:numCache>
                <c:formatCode>General</c:formatCode>
                <c:ptCount val="2"/>
                <c:pt idx="0">
                  <c:v>12</c:v>
                </c:pt>
                <c:pt idx="1">
                  <c:v>108</c:v>
                </c:pt>
              </c:numCache>
            </c:numRef>
          </c:val>
          <c:extLst>
            <c:ext xmlns:c16="http://schemas.microsoft.com/office/drawing/2014/chart" uri="{C3380CC4-5D6E-409C-BE32-E72D297353CC}">
              <c16:uniqueId val="{0000000B-3BBC-444C-AD86-4CC389B646C8}"/>
            </c:ext>
          </c:extLst>
        </c:ser>
        <c:dLbls>
          <c:showLegendKey val="0"/>
          <c:showVal val="1"/>
          <c:showCatName val="0"/>
          <c:showSerName val="0"/>
          <c:showPercent val="0"/>
          <c:showBubbleSize val="0"/>
          <c:showLeaderLines val="1"/>
        </c:dLbls>
        <c:firstSliceAng val="1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prstDash val="solid"/>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[Sujal's Project.xlsx]Student_Pivot !PivotTable4</c:name>
    <c:fmtId val="23"/>
  </c:pivotSource>
  <c:chart>
    <c:title>
      <c:tx>
        <c:rich>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r>
              <a:rPr lang="en-IN" sz="1000" b="1" u="sng">
                <a:solidFill>
                  <a:schemeClr val="tx1"/>
                </a:solidFill>
              </a:rPr>
              <a:t>Semester Avg Marks </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6"/>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6"/>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6"/>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133398051617861E-2"/>
          <c:y val="0.1707027097454302"/>
          <c:w val="0.85417147856517939"/>
          <c:h val="0.69556794983960346"/>
        </c:manualLayout>
      </c:layout>
      <c:lineChart>
        <c:grouping val="standard"/>
        <c:varyColors val="0"/>
        <c:ser>
          <c:idx val="1"/>
          <c:order val="1"/>
          <c:tx>
            <c:strRef>
              <c:f>'Student_Pivot '!$C$18</c:f>
              <c:strCache>
                <c:ptCount val="1"/>
                <c:pt idx="0">
                  <c:v>Average of SQL_Marks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'Student_Pivot '!$A$19:$A$25</c:f>
              <c:strCache>
                <c:ptCount val="6"/>
                <c:pt idx="0">
                  <c:v>1</c:v>
                </c:pt>
                <c:pt idx="1">
                  <c:v>2</c:v>
                </c:pt>
                <c:pt idx="2">
                  <c:v>3</c:v>
                </c:pt>
                <c:pt idx="3">
                  <c:v>4</c:v>
                </c:pt>
                <c:pt idx="4">
                  <c:v>5</c:v>
                </c:pt>
                <c:pt idx="5">
                  <c:v>6</c:v>
                </c:pt>
              </c:strCache>
            </c:strRef>
          </c:cat>
          <c:val>
            <c:numRef>
              <c:f>'Student_Pivot '!$C$19:$C$25</c:f>
              <c:numCache>
                <c:formatCode>General</c:formatCode>
                <c:ptCount val="6"/>
                <c:pt idx="0">
                  <c:v>68</c:v>
                </c:pt>
                <c:pt idx="1">
                  <c:v>66.900000000000006</c:v>
                </c:pt>
                <c:pt idx="2">
                  <c:v>65.7</c:v>
                </c:pt>
                <c:pt idx="3">
                  <c:v>64.5</c:v>
                </c:pt>
                <c:pt idx="4">
                  <c:v>63.3</c:v>
                </c:pt>
                <c:pt idx="5">
                  <c:v>62.1</c:v>
                </c:pt>
              </c:numCache>
            </c:numRef>
          </c:val>
          <c:smooth val="0"/>
          <c:extLst>
            <c:ext xmlns:c16="http://schemas.microsoft.com/office/drawing/2014/chart" uri="{C3380CC4-5D6E-409C-BE32-E72D297353CC}">
              <c16:uniqueId val="{00000000-916C-483F-AC8F-44F3AB504FB3}"/>
            </c:ext>
          </c:extLst>
        </c:ser>
        <c:ser>
          <c:idx val="2"/>
          <c:order val="2"/>
          <c:tx>
            <c:strRef>
              <c:f>'Student_Pivot '!$D$18</c:f>
              <c:strCache>
                <c:ptCount val="1"/>
                <c:pt idx="0">
                  <c:v>Average of Python_Marks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'Student_Pivot '!$A$19:$A$25</c:f>
              <c:strCache>
                <c:ptCount val="6"/>
                <c:pt idx="0">
                  <c:v>1</c:v>
                </c:pt>
                <c:pt idx="1">
                  <c:v>2</c:v>
                </c:pt>
                <c:pt idx="2">
                  <c:v>3</c:v>
                </c:pt>
                <c:pt idx="3">
                  <c:v>4</c:v>
                </c:pt>
                <c:pt idx="4">
                  <c:v>5</c:v>
                </c:pt>
                <c:pt idx="5">
                  <c:v>6</c:v>
                </c:pt>
              </c:strCache>
            </c:strRef>
          </c:cat>
          <c:val>
            <c:numRef>
              <c:f>'Student_Pivot '!$D$19:$D$25</c:f>
              <c:numCache>
                <c:formatCode>General</c:formatCode>
                <c:ptCount val="6"/>
                <c:pt idx="0">
                  <c:v>68</c:v>
                </c:pt>
                <c:pt idx="1">
                  <c:v>65.8</c:v>
                </c:pt>
                <c:pt idx="2">
                  <c:v>69</c:v>
                </c:pt>
                <c:pt idx="3">
                  <c:v>65.3</c:v>
                </c:pt>
                <c:pt idx="4">
                  <c:v>68.5</c:v>
                </c:pt>
                <c:pt idx="5">
                  <c:v>64.8</c:v>
                </c:pt>
              </c:numCache>
            </c:numRef>
          </c:val>
          <c:smooth val="0"/>
          <c:extLst>
            <c:ext xmlns:c16="http://schemas.microsoft.com/office/drawing/2014/chart" uri="{C3380CC4-5D6E-409C-BE32-E72D297353CC}">
              <c16:uniqueId val="{00000001-916C-483F-AC8F-44F3AB504FB3}"/>
            </c:ext>
          </c:extLst>
        </c:ser>
        <c:ser>
          <c:idx val="4"/>
          <c:order val="4"/>
          <c:tx>
            <c:strRef>
              <c:f>'Student_Pivot '!$F$18</c:f>
              <c:strCache>
                <c:ptCount val="1"/>
                <c:pt idx="0">
                  <c:v>Average of Communication_Marks</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'Student_Pivot '!$A$19:$A$25</c:f>
              <c:strCache>
                <c:ptCount val="6"/>
                <c:pt idx="0">
                  <c:v>1</c:v>
                </c:pt>
                <c:pt idx="1">
                  <c:v>2</c:v>
                </c:pt>
                <c:pt idx="2">
                  <c:v>3</c:v>
                </c:pt>
                <c:pt idx="3">
                  <c:v>4</c:v>
                </c:pt>
                <c:pt idx="4">
                  <c:v>5</c:v>
                </c:pt>
                <c:pt idx="5">
                  <c:v>6</c:v>
                </c:pt>
              </c:strCache>
            </c:strRef>
          </c:cat>
          <c:val>
            <c:numRef>
              <c:f>'Student_Pivot '!$F$19:$F$25</c:f>
              <c:numCache>
                <c:formatCode>General</c:formatCode>
                <c:ptCount val="6"/>
                <c:pt idx="0">
                  <c:v>80</c:v>
                </c:pt>
                <c:pt idx="1">
                  <c:v>77</c:v>
                </c:pt>
                <c:pt idx="2">
                  <c:v>72</c:v>
                </c:pt>
                <c:pt idx="3">
                  <c:v>69.8</c:v>
                </c:pt>
                <c:pt idx="4">
                  <c:v>64.8</c:v>
                </c:pt>
                <c:pt idx="5">
                  <c:v>71</c:v>
                </c:pt>
              </c:numCache>
            </c:numRef>
          </c:val>
          <c:smooth val="0"/>
          <c:extLst>
            <c:ext xmlns:c16="http://schemas.microsoft.com/office/drawing/2014/chart" uri="{C3380CC4-5D6E-409C-BE32-E72D297353CC}">
              <c16:uniqueId val="{00000002-916C-483F-AC8F-44F3AB504FB3}"/>
            </c:ext>
          </c:extLst>
        </c:ser>
        <c:dLbls>
          <c:showLegendKey val="0"/>
          <c:showVal val="0"/>
          <c:showCatName val="0"/>
          <c:showSerName val="0"/>
          <c:showPercent val="0"/>
          <c:showBubbleSize val="0"/>
        </c:dLbls>
        <c:marker val="1"/>
        <c:smooth val="0"/>
        <c:axId val="1103573999"/>
        <c:axId val="1083305967"/>
      </c:lineChart>
      <c:lineChart>
        <c:grouping val="standard"/>
        <c:varyColors val="0"/>
        <c:ser>
          <c:idx val="0"/>
          <c:order val="0"/>
          <c:tx>
            <c:strRef>
              <c:f>'Student_Pivot '!$B$18</c:f>
              <c:strCache>
                <c:ptCount val="1"/>
                <c:pt idx="0">
                  <c:v>Average of Maths_Marks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'Student_Pivot '!$A$19:$A$25</c:f>
              <c:strCache>
                <c:ptCount val="6"/>
                <c:pt idx="0">
                  <c:v>1</c:v>
                </c:pt>
                <c:pt idx="1">
                  <c:v>2</c:v>
                </c:pt>
                <c:pt idx="2">
                  <c:v>3</c:v>
                </c:pt>
                <c:pt idx="3">
                  <c:v>4</c:v>
                </c:pt>
                <c:pt idx="4">
                  <c:v>5</c:v>
                </c:pt>
                <c:pt idx="5">
                  <c:v>6</c:v>
                </c:pt>
              </c:strCache>
            </c:strRef>
          </c:cat>
          <c:val>
            <c:numRef>
              <c:f>'Student_Pivot '!$B$19:$B$25</c:f>
              <c:numCache>
                <c:formatCode>General</c:formatCode>
                <c:ptCount val="6"/>
                <c:pt idx="0">
                  <c:v>35</c:v>
                </c:pt>
                <c:pt idx="1">
                  <c:v>46</c:v>
                </c:pt>
                <c:pt idx="2">
                  <c:v>57</c:v>
                </c:pt>
                <c:pt idx="3">
                  <c:v>68</c:v>
                </c:pt>
                <c:pt idx="4">
                  <c:v>79</c:v>
                </c:pt>
                <c:pt idx="5">
                  <c:v>90</c:v>
                </c:pt>
              </c:numCache>
            </c:numRef>
          </c:val>
          <c:smooth val="0"/>
          <c:extLst>
            <c:ext xmlns:c16="http://schemas.microsoft.com/office/drawing/2014/chart" uri="{C3380CC4-5D6E-409C-BE32-E72D297353CC}">
              <c16:uniqueId val="{00000003-916C-483F-AC8F-44F3AB504FB3}"/>
            </c:ext>
          </c:extLst>
        </c:ser>
        <c:ser>
          <c:idx val="3"/>
          <c:order val="3"/>
          <c:tx>
            <c:strRef>
              <c:f>'Student_Pivot '!$E$18</c:f>
              <c:strCache>
                <c:ptCount val="1"/>
                <c:pt idx="0">
                  <c:v>Average of Excel_Marks</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'Student_Pivot '!$A$19:$A$25</c:f>
              <c:strCache>
                <c:ptCount val="6"/>
                <c:pt idx="0">
                  <c:v>1</c:v>
                </c:pt>
                <c:pt idx="1">
                  <c:v>2</c:v>
                </c:pt>
                <c:pt idx="2">
                  <c:v>3</c:v>
                </c:pt>
                <c:pt idx="3">
                  <c:v>4</c:v>
                </c:pt>
                <c:pt idx="4">
                  <c:v>5</c:v>
                </c:pt>
                <c:pt idx="5">
                  <c:v>6</c:v>
                </c:pt>
              </c:strCache>
            </c:strRef>
          </c:cat>
          <c:val>
            <c:numRef>
              <c:f>'Student_Pivot '!$E$19:$E$25</c:f>
              <c:numCache>
                <c:formatCode>General</c:formatCode>
                <c:ptCount val="6"/>
                <c:pt idx="0">
                  <c:v>71.900000000000006</c:v>
                </c:pt>
                <c:pt idx="1">
                  <c:v>68.400000000000006</c:v>
                </c:pt>
                <c:pt idx="2">
                  <c:v>69.099999999999994</c:v>
                </c:pt>
                <c:pt idx="3">
                  <c:v>72.849999999999994</c:v>
                </c:pt>
                <c:pt idx="4">
                  <c:v>70.5</c:v>
                </c:pt>
                <c:pt idx="5">
                  <c:v>68.150000000000006</c:v>
                </c:pt>
              </c:numCache>
            </c:numRef>
          </c:val>
          <c:smooth val="0"/>
          <c:extLst>
            <c:ext xmlns:c16="http://schemas.microsoft.com/office/drawing/2014/chart" uri="{C3380CC4-5D6E-409C-BE32-E72D297353CC}">
              <c16:uniqueId val="{00000004-916C-483F-AC8F-44F3AB504FB3}"/>
            </c:ext>
          </c:extLst>
        </c:ser>
        <c:dLbls>
          <c:showLegendKey val="0"/>
          <c:showVal val="0"/>
          <c:showCatName val="0"/>
          <c:showSerName val="0"/>
          <c:showPercent val="0"/>
          <c:showBubbleSize val="0"/>
        </c:dLbls>
        <c:marker val="1"/>
        <c:smooth val="0"/>
        <c:axId val="1103590703"/>
        <c:axId val="1083219087"/>
      </c:lineChart>
      <c:catAx>
        <c:axId val="110357399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305967"/>
        <c:crosses val="autoZero"/>
        <c:auto val="1"/>
        <c:lblAlgn val="ctr"/>
        <c:lblOffset val="100"/>
        <c:noMultiLvlLbl val="0"/>
      </c:catAx>
      <c:valAx>
        <c:axId val="1083305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573999"/>
        <c:crosses val="autoZero"/>
        <c:crossBetween val="between"/>
      </c:valAx>
      <c:valAx>
        <c:axId val="108321908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590703"/>
        <c:crosses val="max"/>
        <c:crossBetween val="between"/>
      </c:valAx>
      <c:catAx>
        <c:axId val="1103590703"/>
        <c:scaling>
          <c:orientation val="minMax"/>
        </c:scaling>
        <c:delete val="1"/>
        <c:axPos val="t"/>
        <c:numFmt formatCode="General" sourceLinked="1"/>
        <c:majorTickMark val="none"/>
        <c:minorTickMark val="none"/>
        <c:tickLblPos val="nextTo"/>
        <c:crossAx val="1083219087"/>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[Sujal's Project.xlsx]Student_Pivot !PivotTable5</c:name>
    <c:fmtId val="9"/>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US" sz="1050" b="1" u="sng">
                <a:solidFill>
                  <a:schemeClr val="tx1"/>
                </a:solidFill>
              </a:rPr>
              <a:t>Avg</a:t>
            </a:r>
            <a:r>
              <a:rPr lang="en-US" sz="1050" b="1" u="sng" baseline="0">
                <a:solidFill>
                  <a:schemeClr val="tx1"/>
                </a:solidFill>
              </a:rPr>
              <a:t> </a:t>
            </a:r>
            <a:r>
              <a:rPr lang="en-US" sz="1050" b="1" u="sng">
                <a:solidFill>
                  <a:schemeClr val="tx1"/>
                </a:solidFill>
              </a:rPr>
              <a:t>Attendance</a:t>
            </a:r>
            <a:r>
              <a:rPr lang="en-US" sz="1050" b="1" u="sng" baseline="0">
                <a:solidFill>
                  <a:schemeClr val="tx1"/>
                </a:solidFill>
              </a:rPr>
              <a:t> By Dept</a:t>
            </a:r>
            <a:endParaRPr lang="en-US" sz="1050" b="1" u="sng">
              <a:solidFill>
                <a:schemeClr val="tx1"/>
              </a:solidFill>
            </a:endParaRPr>
          </a:p>
        </c:rich>
      </c:tx>
      <c:layout>
        <c:manualLayout>
          <c:xMode val="edge"/>
          <c:yMode val="edge"/>
          <c:x val="0.38699207496092397"/>
          <c:y val="6.5729156063927804E-2"/>
        </c:manualLayout>
      </c:layout>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531780402449691"/>
          <c:y val="0.26328484981044037"/>
          <c:w val="0.68534886264216976"/>
          <c:h val="0.6293157626130067"/>
        </c:manualLayout>
      </c:layout>
      <c:barChart>
        <c:barDir val="bar"/>
        <c:grouping val="clustered"/>
        <c:varyColors val="0"/>
        <c:ser>
          <c:idx val="0"/>
          <c:order val="0"/>
          <c:tx>
            <c:strRef>
              <c:f>'Student_Pivot '!$B$27</c:f>
              <c:strCache>
                <c:ptCount val="1"/>
                <c:pt idx="0">
                  <c:v>Total</c:v>
                </c:pt>
              </c:strCache>
            </c:strRef>
          </c:tx>
          <c:spPr>
            <a:solidFill>
              <a:schemeClr val="accent5"/>
            </a:solidFill>
            <a:ln>
              <a:noFill/>
            </a:ln>
            <a:effectLst/>
          </c:spPr>
          <c:invertIfNegative val="0"/>
          <c:cat>
            <c:strRef>
              <c:f>'Student_Pivot '!$A$28:$A$33</c:f>
              <c:strCache>
                <c:ptCount val="5"/>
                <c:pt idx="0">
                  <c:v>Arts</c:v>
                </c:pt>
                <c:pt idx="1">
                  <c:v>Commerce</c:v>
                </c:pt>
                <c:pt idx="2">
                  <c:v>Computer Science</c:v>
                </c:pt>
                <c:pt idx="3">
                  <c:v>IT</c:v>
                </c:pt>
                <c:pt idx="4">
                  <c:v>Management</c:v>
                </c:pt>
              </c:strCache>
            </c:strRef>
          </c:cat>
          <c:val>
            <c:numRef>
              <c:f>'Student_Pivot '!$B$28:$B$33</c:f>
              <c:numCache>
                <c:formatCode>General</c:formatCode>
                <c:ptCount val="5"/>
                <c:pt idx="0">
                  <c:v>78.458333333333329</c:v>
                </c:pt>
                <c:pt idx="1">
                  <c:v>80</c:v>
                </c:pt>
                <c:pt idx="2">
                  <c:v>78.625</c:v>
                </c:pt>
                <c:pt idx="3">
                  <c:v>82.375</c:v>
                </c:pt>
                <c:pt idx="4">
                  <c:v>80.5</c:v>
                </c:pt>
              </c:numCache>
            </c:numRef>
          </c:val>
          <c:extLst>
            <c:ext xmlns:c16="http://schemas.microsoft.com/office/drawing/2014/chart" uri="{C3380CC4-5D6E-409C-BE32-E72D297353CC}">
              <c16:uniqueId val="{00000000-1704-4954-AB64-4183D8A2D9B1}"/>
            </c:ext>
          </c:extLst>
        </c:ser>
        <c:dLbls>
          <c:showLegendKey val="0"/>
          <c:showVal val="0"/>
          <c:showCatName val="0"/>
          <c:showSerName val="0"/>
          <c:showPercent val="0"/>
          <c:showBubbleSize val="0"/>
        </c:dLbls>
        <c:gapWidth val="182"/>
        <c:axId val="1192890607"/>
        <c:axId val="787577295"/>
      </c:barChart>
      <c:catAx>
        <c:axId val="1192890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577295"/>
        <c:crosses val="autoZero"/>
        <c:auto val="1"/>
        <c:lblAlgn val="ctr"/>
        <c:lblOffset val="100"/>
        <c:noMultiLvlLbl val="0"/>
      </c:catAx>
      <c:valAx>
        <c:axId val="787577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890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sng" strike="noStrike" kern="1200" spc="0" baseline="0">
                <a:solidFill>
                  <a:schemeClr val="tx1"/>
                </a:solidFill>
                <a:latin typeface="+mn-lt"/>
                <a:ea typeface="+mn-ea"/>
                <a:cs typeface="+mn-cs"/>
              </a:defRPr>
            </a:pPr>
            <a:r>
              <a:rPr lang="en-IN" sz="1050" b="1" u="sng">
                <a:solidFill>
                  <a:schemeClr val="tx1"/>
                </a:solidFill>
              </a:rPr>
              <a:t>Attendance vs Avg Marks</a:t>
            </a:r>
          </a:p>
        </c:rich>
      </c:tx>
      <c:overlay val="0"/>
      <c:spPr>
        <a:noFill/>
        <a:ln>
          <a:noFill/>
        </a:ln>
        <a:effectLst/>
      </c:spPr>
      <c:txPr>
        <a:bodyPr rot="0" spcFirstLastPara="1" vertOverflow="ellipsis" vert="horz" wrap="square" anchor="ctr" anchorCtr="1"/>
        <a:lstStyle/>
        <a:p>
          <a:pPr>
            <a:defRPr sz="1050" b="0" i="0" u="sng" strike="noStrike" kern="1200" spc="0" baseline="0">
              <a:solidFill>
                <a:schemeClr val="tx1"/>
              </a:solidFill>
              <a:latin typeface="+mn-lt"/>
              <a:ea typeface="+mn-ea"/>
              <a:cs typeface="+mn-cs"/>
            </a:defRPr>
          </a:pPr>
          <a:endParaRPr lang="en-IN"/>
        </a:p>
      </c:txPr>
    </c:title>
    <c:autoTitleDeleted val="0"/>
    <c:plotArea>
      <c:layout/>
      <c:scatterChart>
        <c:scatterStyle val="lineMarker"/>
        <c:varyColors val="0"/>
        <c:ser>
          <c:idx val="0"/>
          <c:order val="0"/>
          <c:spPr>
            <a:ln w="25400" cap="rnd">
              <a:noFill/>
              <a:round/>
            </a:ln>
            <a:effectLst/>
          </c:spPr>
          <c:marker>
            <c:symbol val="circle"/>
            <c:size val="5"/>
            <c:spPr>
              <a:solidFill>
                <a:schemeClr val="accent6"/>
              </a:solidFill>
              <a:ln w="9525">
                <a:solidFill>
                  <a:schemeClr val="accent6"/>
                </a:solidFill>
              </a:ln>
              <a:effectLst/>
            </c:spPr>
          </c:marker>
          <c:xVal>
            <c:numRef>
              <c:f>'Student Raw Data'!$I$2:$I$121</c:f>
              <c:numCache>
                <c:formatCode>General</c:formatCode>
                <c:ptCount val="120"/>
                <c:pt idx="0">
                  <c:v>67</c:v>
                </c:pt>
                <c:pt idx="1">
                  <c:v>74</c:v>
                </c:pt>
                <c:pt idx="2">
                  <c:v>81</c:v>
                </c:pt>
                <c:pt idx="3">
                  <c:v>88</c:v>
                </c:pt>
                <c:pt idx="4">
                  <c:v>95</c:v>
                </c:pt>
                <c:pt idx="5">
                  <c:v>61</c:v>
                </c:pt>
                <c:pt idx="6">
                  <c:v>68</c:v>
                </c:pt>
                <c:pt idx="7">
                  <c:v>75</c:v>
                </c:pt>
                <c:pt idx="8">
                  <c:v>82</c:v>
                </c:pt>
                <c:pt idx="9">
                  <c:v>89</c:v>
                </c:pt>
                <c:pt idx="10">
                  <c:v>96</c:v>
                </c:pt>
                <c:pt idx="11">
                  <c:v>62</c:v>
                </c:pt>
                <c:pt idx="12">
                  <c:v>69</c:v>
                </c:pt>
                <c:pt idx="13">
                  <c:v>76</c:v>
                </c:pt>
                <c:pt idx="14">
                  <c:v>83</c:v>
                </c:pt>
                <c:pt idx="15">
                  <c:v>90</c:v>
                </c:pt>
                <c:pt idx="16">
                  <c:v>97</c:v>
                </c:pt>
                <c:pt idx="17">
                  <c:v>63</c:v>
                </c:pt>
                <c:pt idx="18">
                  <c:v>70</c:v>
                </c:pt>
                <c:pt idx="19">
                  <c:v>77</c:v>
                </c:pt>
                <c:pt idx="20">
                  <c:v>84</c:v>
                </c:pt>
                <c:pt idx="21">
                  <c:v>91</c:v>
                </c:pt>
                <c:pt idx="22">
                  <c:v>98</c:v>
                </c:pt>
                <c:pt idx="23">
                  <c:v>64</c:v>
                </c:pt>
                <c:pt idx="24">
                  <c:v>71</c:v>
                </c:pt>
                <c:pt idx="25">
                  <c:v>78</c:v>
                </c:pt>
                <c:pt idx="26">
                  <c:v>85</c:v>
                </c:pt>
                <c:pt idx="27">
                  <c:v>92</c:v>
                </c:pt>
                <c:pt idx="28">
                  <c:v>99</c:v>
                </c:pt>
                <c:pt idx="29">
                  <c:v>65</c:v>
                </c:pt>
                <c:pt idx="30">
                  <c:v>72</c:v>
                </c:pt>
                <c:pt idx="31">
                  <c:v>79</c:v>
                </c:pt>
                <c:pt idx="32">
                  <c:v>86</c:v>
                </c:pt>
                <c:pt idx="33">
                  <c:v>93</c:v>
                </c:pt>
                <c:pt idx="34">
                  <c:v>100</c:v>
                </c:pt>
                <c:pt idx="35">
                  <c:v>66</c:v>
                </c:pt>
                <c:pt idx="36">
                  <c:v>73</c:v>
                </c:pt>
                <c:pt idx="37">
                  <c:v>80</c:v>
                </c:pt>
                <c:pt idx="38">
                  <c:v>87</c:v>
                </c:pt>
                <c:pt idx="39">
                  <c:v>94</c:v>
                </c:pt>
                <c:pt idx="40">
                  <c:v>60</c:v>
                </c:pt>
                <c:pt idx="41">
                  <c:v>67</c:v>
                </c:pt>
                <c:pt idx="42">
                  <c:v>74</c:v>
                </c:pt>
                <c:pt idx="43">
                  <c:v>81</c:v>
                </c:pt>
                <c:pt idx="44">
                  <c:v>88</c:v>
                </c:pt>
                <c:pt idx="45">
                  <c:v>95</c:v>
                </c:pt>
                <c:pt idx="46">
                  <c:v>61</c:v>
                </c:pt>
                <c:pt idx="47">
                  <c:v>68</c:v>
                </c:pt>
                <c:pt idx="48">
                  <c:v>75</c:v>
                </c:pt>
                <c:pt idx="49">
                  <c:v>82</c:v>
                </c:pt>
                <c:pt idx="50">
                  <c:v>89</c:v>
                </c:pt>
                <c:pt idx="51">
                  <c:v>96</c:v>
                </c:pt>
                <c:pt idx="52">
                  <c:v>62</c:v>
                </c:pt>
                <c:pt idx="53">
                  <c:v>69</c:v>
                </c:pt>
                <c:pt idx="54">
                  <c:v>76</c:v>
                </c:pt>
                <c:pt idx="55">
                  <c:v>83</c:v>
                </c:pt>
                <c:pt idx="56">
                  <c:v>90</c:v>
                </c:pt>
                <c:pt idx="57">
                  <c:v>97</c:v>
                </c:pt>
                <c:pt idx="58">
                  <c:v>63</c:v>
                </c:pt>
                <c:pt idx="59">
                  <c:v>70</c:v>
                </c:pt>
                <c:pt idx="60">
                  <c:v>77</c:v>
                </c:pt>
                <c:pt idx="61">
                  <c:v>84</c:v>
                </c:pt>
                <c:pt idx="62">
                  <c:v>91</c:v>
                </c:pt>
                <c:pt idx="63">
                  <c:v>98</c:v>
                </c:pt>
                <c:pt idx="64">
                  <c:v>64</c:v>
                </c:pt>
                <c:pt idx="65">
                  <c:v>71</c:v>
                </c:pt>
                <c:pt idx="66">
                  <c:v>78</c:v>
                </c:pt>
                <c:pt idx="67">
                  <c:v>85</c:v>
                </c:pt>
                <c:pt idx="68">
                  <c:v>92</c:v>
                </c:pt>
                <c:pt idx="69">
                  <c:v>99</c:v>
                </c:pt>
                <c:pt idx="70">
                  <c:v>65</c:v>
                </c:pt>
                <c:pt idx="71">
                  <c:v>72</c:v>
                </c:pt>
                <c:pt idx="72">
                  <c:v>79</c:v>
                </c:pt>
                <c:pt idx="73">
                  <c:v>86</c:v>
                </c:pt>
                <c:pt idx="74">
                  <c:v>93</c:v>
                </c:pt>
                <c:pt idx="75">
                  <c:v>100</c:v>
                </c:pt>
                <c:pt idx="76">
                  <c:v>66</c:v>
                </c:pt>
                <c:pt idx="77">
                  <c:v>73</c:v>
                </c:pt>
                <c:pt idx="78">
                  <c:v>80</c:v>
                </c:pt>
                <c:pt idx="79">
                  <c:v>87</c:v>
                </c:pt>
                <c:pt idx="80">
                  <c:v>94</c:v>
                </c:pt>
                <c:pt idx="81">
                  <c:v>60</c:v>
                </c:pt>
                <c:pt idx="82">
                  <c:v>67</c:v>
                </c:pt>
                <c:pt idx="83">
                  <c:v>74</c:v>
                </c:pt>
                <c:pt idx="84">
                  <c:v>81</c:v>
                </c:pt>
                <c:pt idx="85">
                  <c:v>88</c:v>
                </c:pt>
                <c:pt idx="86">
                  <c:v>95</c:v>
                </c:pt>
                <c:pt idx="87">
                  <c:v>61</c:v>
                </c:pt>
                <c:pt idx="88">
                  <c:v>68</c:v>
                </c:pt>
                <c:pt idx="89">
                  <c:v>75</c:v>
                </c:pt>
                <c:pt idx="90">
                  <c:v>82</c:v>
                </c:pt>
                <c:pt idx="91">
                  <c:v>89</c:v>
                </c:pt>
                <c:pt idx="92">
                  <c:v>96</c:v>
                </c:pt>
                <c:pt idx="93">
                  <c:v>62</c:v>
                </c:pt>
                <c:pt idx="94">
                  <c:v>69</c:v>
                </c:pt>
                <c:pt idx="95">
                  <c:v>76</c:v>
                </c:pt>
                <c:pt idx="96">
                  <c:v>83</c:v>
                </c:pt>
                <c:pt idx="97">
                  <c:v>90</c:v>
                </c:pt>
                <c:pt idx="98">
                  <c:v>97</c:v>
                </c:pt>
                <c:pt idx="99">
                  <c:v>63</c:v>
                </c:pt>
                <c:pt idx="100">
                  <c:v>70</c:v>
                </c:pt>
                <c:pt idx="101">
                  <c:v>77</c:v>
                </c:pt>
                <c:pt idx="102">
                  <c:v>84</c:v>
                </c:pt>
                <c:pt idx="103">
                  <c:v>91</c:v>
                </c:pt>
                <c:pt idx="104">
                  <c:v>98</c:v>
                </c:pt>
                <c:pt idx="105">
                  <c:v>64</c:v>
                </c:pt>
                <c:pt idx="106">
                  <c:v>71</c:v>
                </c:pt>
                <c:pt idx="107">
                  <c:v>78</c:v>
                </c:pt>
                <c:pt idx="108">
                  <c:v>85</c:v>
                </c:pt>
                <c:pt idx="109">
                  <c:v>92</c:v>
                </c:pt>
                <c:pt idx="110">
                  <c:v>99</c:v>
                </c:pt>
                <c:pt idx="111">
                  <c:v>65</c:v>
                </c:pt>
                <c:pt idx="112">
                  <c:v>72</c:v>
                </c:pt>
                <c:pt idx="113">
                  <c:v>79</c:v>
                </c:pt>
                <c:pt idx="114">
                  <c:v>86</c:v>
                </c:pt>
                <c:pt idx="115">
                  <c:v>93</c:v>
                </c:pt>
                <c:pt idx="116">
                  <c:v>100</c:v>
                </c:pt>
                <c:pt idx="117">
                  <c:v>66</c:v>
                </c:pt>
                <c:pt idx="118">
                  <c:v>73</c:v>
                </c:pt>
                <c:pt idx="119">
                  <c:v>80</c:v>
                </c:pt>
              </c:numCache>
            </c:numRef>
          </c:xVal>
          <c:yVal>
            <c:numRef>
              <c:f>'Student Raw Data'!$O$2:$O$121</c:f>
              <c:numCache>
                <c:formatCode>General</c:formatCode>
                <c:ptCount val="120"/>
                <c:pt idx="0">
                  <c:v>50.2</c:v>
                </c:pt>
                <c:pt idx="1">
                  <c:v>64</c:v>
                </c:pt>
                <c:pt idx="2">
                  <c:v>77.8</c:v>
                </c:pt>
                <c:pt idx="3">
                  <c:v>79.400000000000006</c:v>
                </c:pt>
                <c:pt idx="4">
                  <c:v>79.400000000000006</c:v>
                </c:pt>
                <c:pt idx="5">
                  <c:v>65.8</c:v>
                </c:pt>
                <c:pt idx="6">
                  <c:v>56.2</c:v>
                </c:pt>
                <c:pt idx="7">
                  <c:v>70</c:v>
                </c:pt>
                <c:pt idx="8">
                  <c:v>70</c:v>
                </c:pt>
                <c:pt idx="9">
                  <c:v>71.599999999999994</c:v>
                </c:pt>
                <c:pt idx="10">
                  <c:v>71.2</c:v>
                </c:pt>
                <c:pt idx="11">
                  <c:v>71.8</c:v>
                </c:pt>
                <c:pt idx="12">
                  <c:v>48.4</c:v>
                </c:pt>
                <c:pt idx="13">
                  <c:v>62.2</c:v>
                </c:pt>
                <c:pt idx="14">
                  <c:v>76</c:v>
                </c:pt>
                <c:pt idx="15">
                  <c:v>89.8</c:v>
                </c:pt>
                <c:pt idx="16">
                  <c:v>63.4</c:v>
                </c:pt>
                <c:pt idx="17">
                  <c:v>64</c:v>
                </c:pt>
                <c:pt idx="18">
                  <c:v>66.599999999999994</c:v>
                </c:pt>
                <c:pt idx="19">
                  <c:v>68.2</c:v>
                </c:pt>
                <c:pt idx="20">
                  <c:v>68.2</c:v>
                </c:pt>
                <c:pt idx="21">
                  <c:v>67.8</c:v>
                </c:pt>
                <c:pt idx="22">
                  <c:v>69.400000000000006</c:v>
                </c:pt>
                <c:pt idx="23">
                  <c:v>70</c:v>
                </c:pt>
                <c:pt idx="24">
                  <c:v>58.8</c:v>
                </c:pt>
                <c:pt idx="25">
                  <c:v>60.4</c:v>
                </c:pt>
                <c:pt idx="26">
                  <c:v>74.2</c:v>
                </c:pt>
                <c:pt idx="27">
                  <c:v>73.8</c:v>
                </c:pt>
                <c:pt idx="28">
                  <c:v>61.6</c:v>
                </c:pt>
                <c:pt idx="29">
                  <c:v>62.2</c:v>
                </c:pt>
                <c:pt idx="30">
                  <c:v>76</c:v>
                </c:pt>
                <c:pt idx="31">
                  <c:v>78.599999999999994</c:v>
                </c:pt>
                <c:pt idx="32">
                  <c:v>52.2</c:v>
                </c:pt>
                <c:pt idx="33">
                  <c:v>66</c:v>
                </c:pt>
                <c:pt idx="34">
                  <c:v>79.8</c:v>
                </c:pt>
                <c:pt idx="35">
                  <c:v>68.2</c:v>
                </c:pt>
                <c:pt idx="36">
                  <c:v>68.2</c:v>
                </c:pt>
                <c:pt idx="37">
                  <c:v>70.8</c:v>
                </c:pt>
                <c:pt idx="38">
                  <c:v>58.2</c:v>
                </c:pt>
                <c:pt idx="39">
                  <c:v>72</c:v>
                </c:pt>
                <c:pt idx="40">
                  <c:v>72</c:v>
                </c:pt>
                <c:pt idx="41">
                  <c:v>60.4</c:v>
                </c:pt>
                <c:pt idx="42">
                  <c:v>74.2</c:v>
                </c:pt>
                <c:pt idx="43">
                  <c:v>62.6</c:v>
                </c:pt>
                <c:pt idx="44">
                  <c:v>50.4</c:v>
                </c:pt>
                <c:pt idx="45">
                  <c:v>64.2</c:v>
                </c:pt>
                <c:pt idx="46">
                  <c:v>78</c:v>
                </c:pt>
                <c:pt idx="47">
                  <c:v>78.599999999999994</c:v>
                </c:pt>
                <c:pt idx="48">
                  <c:v>66.400000000000006</c:v>
                </c:pt>
                <c:pt idx="49">
                  <c:v>54.8</c:v>
                </c:pt>
                <c:pt idx="50">
                  <c:v>68.599999999999994</c:v>
                </c:pt>
                <c:pt idx="51">
                  <c:v>70.2</c:v>
                </c:pt>
                <c:pt idx="52">
                  <c:v>70.2</c:v>
                </c:pt>
                <c:pt idx="53">
                  <c:v>70.8</c:v>
                </c:pt>
                <c:pt idx="54">
                  <c:v>58.2</c:v>
                </c:pt>
                <c:pt idx="55">
                  <c:v>60.8</c:v>
                </c:pt>
                <c:pt idx="56">
                  <c:v>60.8</c:v>
                </c:pt>
                <c:pt idx="57">
                  <c:v>62.4</c:v>
                </c:pt>
                <c:pt idx="58">
                  <c:v>76.2</c:v>
                </c:pt>
                <c:pt idx="59">
                  <c:v>76.8</c:v>
                </c:pt>
                <c:pt idx="60">
                  <c:v>50.4</c:v>
                </c:pt>
                <c:pt idx="61">
                  <c:v>64.2</c:v>
                </c:pt>
                <c:pt idx="62">
                  <c:v>66.8</c:v>
                </c:pt>
                <c:pt idx="63">
                  <c:v>80.599999999999994</c:v>
                </c:pt>
                <c:pt idx="64">
                  <c:v>68.400000000000006</c:v>
                </c:pt>
                <c:pt idx="65">
                  <c:v>54.8</c:v>
                </c:pt>
                <c:pt idx="66">
                  <c:v>68.599999999999994</c:v>
                </c:pt>
                <c:pt idx="67">
                  <c:v>70.2</c:v>
                </c:pt>
                <c:pt idx="68">
                  <c:v>59</c:v>
                </c:pt>
                <c:pt idx="69">
                  <c:v>72.8</c:v>
                </c:pt>
                <c:pt idx="70">
                  <c:v>60.2</c:v>
                </c:pt>
                <c:pt idx="71">
                  <c:v>60.8</c:v>
                </c:pt>
                <c:pt idx="72">
                  <c:v>74.599999999999994</c:v>
                </c:pt>
                <c:pt idx="73">
                  <c:v>62.4</c:v>
                </c:pt>
                <c:pt idx="74">
                  <c:v>65</c:v>
                </c:pt>
                <c:pt idx="75">
                  <c:v>78.8</c:v>
                </c:pt>
                <c:pt idx="76">
                  <c:v>78.400000000000006</c:v>
                </c:pt>
                <c:pt idx="77">
                  <c:v>53</c:v>
                </c:pt>
                <c:pt idx="78">
                  <c:v>66.8</c:v>
                </c:pt>
                <c:pt idx="79">
                  <c:v>80.599999999999994</c:v>
                </c:pt>
                <c:pt idx="80">
                  <c:v>71</c:v>
                </c:pt>
                <c:pt idx="81">
                  <c:v>56.8</c:v>
                </c:pt>
                <c:pt idx="82">
                  <c:v>70.599999999999994</c:v>
                </c:pt>
                <c:pt idx="83">
                  <c:v>59</c:v>
                </c:pt>
                <c:pt idx="84">
                  <c:v>72.8</c:v>
                </c:pt>
                <c:pt idx="85">
                  <c:v>72.8</c:v>
                </c:pt>
                <c:pt idx="86">
                  <c:v>74.400000000000006</c:v>
                </c:pt>
                <c:pt idx="87">
                  <c:v>62.8</c:v>
                </c:pt>
                <c:pt idx="88">
                  <c:v>76.599999999999994</c:v>
                </c:pt>
                <c:pt idx="89">
                  <c:v>51.2</c:v>
                </c:pt>
                <c:pt idx="90">
                  <c:v>65</c:v>
                </c:pt>
                <c:pt idx="91">
                  <c:v>78.8</c:v>
                </c:pt>
                <c:pt idx="92">
                  <c:v>78.400000000000006</c:v>
                </c:pt>
                <c:pt idx="93">
                  <c:v>55</c:v>
                </c:pt>
                <c:pt idx="94">
                  <c:v>68.8</c:v>
                </c:pt>
                <c:pt idx="95">
                  <c:v>69.400000000000006</c:v>
                </c:pt>
                <c:pt idx="96">
                  <c:v>71</c:v>
                </c:pt>
                <c:pt idx="97">
                  <c:v>71</c:v>
                </c:pt>
                <c:pt idx="98">
                  <c:v>70.599999999999994</c:v>
                </c:pt>
                <c:pt idx="99">
                  <c:v>61</c:v>
                </c:pt>
                <c:pt idx="100">
                  <c:v>74.8</c:v>
                </c:pt>
                <c:pt idx="101">
                  <c:v>61.6</c:v>
                </c:pt>
                <c:pt idx="102">
                  <c:v>63.2</c:v>
                </c:pt>
                <c:pt idx="103">
                  <c:v>62.8</c:v>
                </c:pt>
                <c:pt idx="104">
                  <c:v>76.599999999999994</c:v>
                </c:pt>
                <c:pt idx="105">
                  <c:v>53.2</c:v>
                </c:pt>
                <c:pt idx="106">
                  <c:v>67</c:v>
                </c:pt>
                <c:pt idx="107">
                  <c:v>67.599999999999994</c:v>
                </c:pt>
                <c:pt idx="108">
                  <c:v>81.400000000000006</c:v>
                </c:pt>
                <c:pt idx="109">
                  <c:v>55</c:v>
                </c:pt>
                <c:pt idx="110">
                  <c:v>68.8</c:v>
                </c:pt>
                <c:pt idx="111">
                  <c:v>71.400000000000006</c:v>
                </c:pt>
                <c:pt idx="112">
                  <c:v>73</c:v>
                </c:pt>
                <c:pt idx="113">
                  <c:v>59.8</c:v>
                </c:pt>
                <c:pt idx="114">
                  <c:v>59.4</c:v>
                </c:pt>
                <c:pt idx="115">
                  <c:v>61</c:v>
                </c:pt>
                <c:pt idx="116">
                  <c:v>74.8</c:v>
                </c:pt>
                <c:pt idx="117">
                  <c:v>74.8</c:v>
                </c:pt>
                <c:pt idx="118">
                  <c:v>65.2</c:v>
                </c:pt>
                <c:pt idx="119">
                  <c:v>65.8</c:v>
                </c:pt>
              </c:numCache>
            </c:numRef>
          </c:yVal>
          <c:smooth val="0"/>
          <c:extLst>
            <c:ext xmlns:c16="http://schemas.microsoft.com/office/drawing/2014/chart" uri="{C3380CC4-5D6E-409C-BE32-E72D297353CC}">
              <c16:uniqueId val="{00000000-4F53-43A3-BCE0-76DE6F0521C3}"/>
            </c:ext>
          </c:extLst>
        </c:ser>
        <c:dLbls>
          <c:showLegendKey val="0"/>
          <c:showVal val="0"/>
          <c:showCatName val="0"/>
          <c:showSerName val="0"/>
          <c:showPercent val="0"/>
          <c:showBubbleSize val="0"/>
        </c:dLbls>
        <c:axId val="774890479"/>
        <c:axId val="1083287247"/>
      </c:scatterChart>
      <c:valAx>
        <c:axId val="774890479"/>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287247"/>
        <c:crosses val="autoZero"/>
        <c:crossBetween val="midCat"/>
      </c:valAx>
      <c:valAx>
        <c:axId val="1083287247"/>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890479"/>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Student Avg Marks</cx:v>
        </cx:txData>
      </cx:tx>
      <cx:txPr>
        <a:bodyPr spcFirstLastPara="1" vertOverflow="ellipsis" horzOverflow="overflow" wrap="square" lIns="0" tIns="0" rIns="0" bIns="0" anchor="ctr" anchorCtr="1"/>
        <a:lstStyle/>
        <a:p>
          <a:pPr algn="ctr" rtl="0">
            <a:defRPr sz="1050" u="sng"/>
          </a:pPr>
          <a:r>
            <a:rPr lang="en-US" sz="1050" b="1" i="0" u="sng" strike="noStrike" baseline="0">
              <a:solidFill>
                <a:schemeClr val="tx1"/>
              </a:solidFill>
              <a:latin typeface="Calibri"/>
            </a:rPr>
            <a:t>Student Avg Marks</a:t>
          </a:r>
        </a:p>
      </cx:txPr>
    </cx:title>
    <cx:plotArea>
      <cx:plotAreaRegion>
        <cx:series layoutId="clusteredColumn" uniqueId="{709EA37F-079B-40D4-A9EB-5B079E69F011}">
          <cx:dataId val="0"/>
          <cx:layoutPr>
            <cx:binning intervalClosed="r">
              <cx:binCount val="6"/>
            </cx:binning>
          </cx:layoutPr>
        </cx:series>
      </cx:plotAreaRegion>
      <cx:axis id="0">
        <cx:catScaling gapWidth="0.100000001"/>
        <cx:tickLabels/>
      </cx:axis>
      <cx:axis id="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1.xml"/><Relationship Id="rId21" Type="http://schemas.openxmlformats.org/officeDocument/2006/relationships/image" Target="../media/image15.png"/><Relationship Id="rId7" Type="http://schemas.microsoft.com/office/2014/relationships/chartEx" Target="../charts/chartEx1.xml"/><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image" Target="../media/image2.svg"/><Relationship Id="rId16" Type="http://schemas.openxmlformats.org/officeDocument/2006/relationships/image" Target="../media/image10.svg"/><Relationship Id="rId20" Type="http://schemas.openxmlformats.org/officeDocument/2006/relationships/image" Target="../media/image14.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5.png"/><Relationship Id="rId5" Type="http://schemas.openxmlformats.org/officeDocument/2006/relationships/chart" Target="../charts/chart3.xml"/><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image" Target="../media/image13.png"/><Relationship Id="rId4" Type="http://schemas.openxmlformats.org/officeDocument/2006/relationships/chart" Target="../charts/chart2.xml"/><Relationship Id="rId9" Type="http://schemas.openxmlformats.org/officeDocument/2006/relationships/image" Target="../media/image3.png"/><Relationship Id="rId14" Type="http://schemas.openxmlformats.org/officeDocument/2006/relationships/image" Target="../media/image8.svg"/><Relationship Id="rId22" Type="http://schemas.openxmlformats.org/officeDocument/2006/relationships/image" Target="../media/image16.svg"/></Relationships>
</file>

<file path=xl/drawings/drawing1.xml><?xml version="1.0" encoding="utf-8"?>
<xdr:wsDr xmlns:xdr="http://schemas.openxmlformats.org/drawingml/2006/spreadsheetDrawing" xmlns:a="http://schemas.openxmlformats.org/drawingml/2006/main">
  <xdr:twoCellAnchor>
    <xdr:from>
      <xdr:col>0</xdr:col>
      <xdr:colOff>53339</xdr:colOff>
      <xdr:row>0</xdr:row>
      <xdr:rowOff>38100</xdr:rowOff>
    </xdr:from>
    <xdr:to>
      <xdr:col>3</xdr:col>
      <xdr:colOff>209550</xdr:colOff>
      <xdr:row>4</xdr:row>
      <xdr:rowOff>7620</xdr:rowOff>
    </xdr:to>
    <xdr:sp macro="" textlink="">
      <xdr:nvSpPr>
        <xdr:cNvPr id="2" name="Rectangle 1">
          <a:extLst>
            <a:ext uri="{FF2B5EF4-FFF2-40B4-BE49-F238E27FC236}">
              <a16:creationId xmlns:a16="http://schemas.microsoft.com/office/drawing/2014/main" id="{FBEF93D8-D9AD-36CB-0C43-EF908C17FB86}"/>
            </a:ext>
          </a:extLst>
        </xdr:cNvPr>
        <xdr:cNvSpPr/>
      </xdr:nvSpPr>
      <xdr:spPr>
        <a:xfrm>
          <a:off x="53339" y="38100"/>
          <a:ext cx="1985011" cy="693420"/>
        </a:xfrm>
        <a:prstGeom prst="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304800</xdr:colOff>
      <xdr:row>0</xdr:row>
      <xdr:rowOff>57150</xdr:rowOff>
    </xdr:from>
    <xdr:to>
      <xdr:col>27</xdr:col>
      <xdr:colOff>512669</xdr:colOff>
      <xdr:row>4</xdr:row>
      <xdr:rowOff>19050</xdr:rowOff>
    </xdr:to>
    <xdr:sp macro="" textlink="">
      <xdr:nvSpPr>
        <xdr:cNvPr id="3" name="Rectangle 2">
          <a:extLst>
            <a:ext uri="{FF2B5EF4-FFF2-40B4-BE49-F238E27FC236}">
              <a16:creationId xmlns:a16="http://schemas.microsoft.com/office/drawing/2014/main" id="{117AD409-4F71-AFAE-A83D-0417141CEC38}"/>
            </a:ext>
          </a:extLst>
        </xdr:cNvPr>
        <xdr:cNvSpPr/>
      </xdr:nvSpPr>
      <xdr:spPr>
        <a:xfrm>
          <a:off x="2139244" y="57150"/>
          <a:ext cx="14883425" cy="676863"/>
        </a:xfrm>
        <a:prstGeom prst="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539115</xdr:colOff>
      <xdr:row>0</xdr:row>
      <xdr:rowOff>167640</xdr:rowOff>
    </xdr:from>
    <xdr:to>
      <xdr:col>19</xdr:col>
      <xdr:colOff>440055</xdr:colOff>
      <xdr:row>3</xdr:row>
      <xdr:rowOff>38100</xdr:rowOff>
    </xdr:to>
    <xdr:sp macro="" textlink="">
      <xdr:nvSpPr>
        <xdr:cNvPr id="4" name="TextBox 3">
          <a:extLst>
            <a:ext uri="{FF2B5EF4-FFF2-40B4-BE49-F238E27FC236}">
              <a16:creationId xmlns:a16="http://schemas.microsoft.com/office/drawing/2014/main" id="{A2DCBE42-CF55-7916-10D9-D24D9FCDEF60}"/>
            </a:ext>
          </a:extLst>
        </xdr:cNvPr>
        <xdr:cNvSpPr txBox="1"/>
      </xdr:nvSpPr>
      <xdr:spPr>
        <a:xfrm>
          <a:off x="6025515" y="167640"/>
          <a:ext cx="5996940" cy="413385"/>
        </a:xfrm>
        <a:prstGeom prst="rect">
          <a:avLst/>
        </a:prstGeom>
        <a:noFill/>
        <a:ln w="9525" cmpd="sng">
          <a:noFill/>
        </a:ln>
        <a:effectLst>
          <a:glow rad="1016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2800" b="1">
              <a:solidFill>
                <a:schemeClr val="bg1"/>
              </a:solidFill>
            </a:rPr>
            <a:t>STUDENT PERFORMANCE</a:t>
          </a:r>
          <a:r>
            <a:rPr lang="en-IN" sz="2800" b="1" baseline="0">
              <a:solidFill>
                <a:schemeClr val="bg1"/>
              </a:solidFill>
            </a:rPr>
            <a:t> DASHBOARD</a:t>
          </a:r>
          <a:endParaRPr lang="en-IN" sz="2800" b="1">
            <a:solidFill>
              <a:schemeClr val="bg1"/>
            </a:solidFill>
          </a:endParaRPr>
        </a:p>
      </xdr:txBody>
    </xdr:sp>
    <xdr:clientData/>
  </xdr:twoCellAnchor>
  <xdr:twoCellAnchor>
    <xdr:from>
      <xdr:col>0</xdr:col>
      <xdr:colOff>53339</xdr:colOff>
      <xdr:row>4</xdr:row>
      <xdr:rowOff>38099</xdr:rowOff>
    </xdr:from>
    <xdr:to>
      <xdr:col>3</xdr:col>
      <xdr:colOff>209550</xdr:colOff>
      <xdr:row>42</xdr:row>
      <xdr:rowOff>80681</xdr:rowOff>
    </xdr:to>
    <xdr:sp macro="" textlink="">
      <xdr:nvSpPr>
        <xdr:cNvPr id="5" name="Rectangle 4">
          <a:extLst>
            <a:ext uri="{FF2B5EF4-FFF2-40B4-BE49-F238E27FC236}">
              <a16:creationId xmlns:a16="http://schemas.microsoft.com/office/drawing/2014/main" id="{17534016-A790-5FBE-4DFD-18AD65A2E09C}"/>
            </a:ext>
          </a:extLst>
        </xdr:cNvPr>
        <xdr:cNvSpPr/>
      </xdr:nvSpPr>
      <xdr:spPr>
        <a:xfrm>
          <a:off x="53339" y="761999"/>
          <a:ext cx="1985011" cy="6919632"/>
        </a:xfrm>
        <a:prstGeom prst="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15240</xdr:colOff>
      <xdr:row>0</xdr:row>
      <xdr:rowOff>0</xdr:rowOff>
    </xdr:from>
    <xdr:to>
      <xdr:col>2</xdr:col>
      <xdr:colOff>129540</xdr:colOff>
      <xdr:row>3</xdr:row>
      <xdr:rowOff>147683</xdr:rowOff>
    </xdr:to>
    <xdr:pic>
      <xdr:nvPicPr>
        <xdr:cNvPr id="7" name="Graphic 6" descr="Schoolhouse with solid fill">
          <a:extLst>
            <a:ext uri="{FF2B5EF4-FFF2-40B4-BE49-F238E27FC236}">
              <a16:creationId xmlns:a16="http://schemas.microsoft.com/office/drawing/2014/main" id="{C484AD74-78E0-C164-345E-C446349EA78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24840" y="0"/>
          <a:ext cx="723900" cy="690608"/>
        </a:xfrm>
        <a:prstGeom prst="rect">
          <a:avLst/>
        </a:prstGeom>
      </xdr:spPr>
    </xdr:pic>
    <xdr:clientData/>
  </xdr:twoCellAnchor>
  <xdr:twoCellAnchor>
    <xdr:from>
      <xdr:col>3</xdr:col>
      <xdr:colOff>306144</xdr:colOff>
      <xdr:row>9</xdr:row>
      <xdr:rowOff>164027</xdr:rowOff>
    </xdr:from>
    <xdr:to>
      <xdr:col>11</xdr:col>
      <xdr:colOff>451555</xdr:colOff>
      <xdr:row>25</xdr:row>
      <xdr:rowOff>23392</xdr:rowOff>
    </xdr:to>
    <xdr:graphicFrame macro="">
      <xdr:nvGraphicFramePr>
        <xdr:cNvPr id="24" name="Chart 23">
          <a:extLst>
            <a:ext uri="{FF2B5EF4-FFF2-40B4-BE49-F238E27FC236}">
              <a16:creationId xmlns:a16="http://schemas.microsoft.com/office/drawing/2014/main" id="{AA930B07-1E30-4B8E-AD12-B3FF92E10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18815</xdr:colOff>
      <xdr:row>9</xdr:row>
      <xdr:rowOff>177473</xdr:rowOff>
    </xdr:from>
    <xdr:to>
      <xdr:col>19</xdr:col>
      <xdr:colOff>103482</xdr:colOff>
      <xdr:row>25</xdr:row>
      <xdr:rowOff>23392</xdr:rowOff>
    </xdr:to>
    <xdr:graphicFrame macro="">
      <xdr:nvGraphicFramePr>
        <xdr:cNvPr id="27" name="Chart 26">
          <a:extLst>
            <a:ext uri="{FF2B5EF4-FFF2-40B4-BE49-F238E27FC236}">
              <a16:creationId xmlns:a16="http://schemas.microsoft.com/office/drawing/2014/main" id="{1B96C9A2-908E-421B-9A11-16EAF7270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152400</xdr:colOff>
      <xdr:row>12</xdr:row>
      <xdr:rowOff>171450</xdr:rowOff>
    </xdr:from>
    <xdr:to>
      <xdr:col>3</xdr:col>
      <xdr:colOff>28575</xdr:colOff>
      <xdr:row>22</xdr:row>
      <xdr:rowOff>50428</xdr:rowOff>
    </xdr:to>
    <mc:AlternateContent xmlns:mc="http://schemas.openxmlformats.org/markup-compatibility/2006" xmlns:a14="http://schemas.microsoft.com/office/drawing/2010/main">
      <mc:Choice Requires="a14">
        <xdr:graphicFrame macro="">
          <xdr:nvGraphicFramePr>
            <xdr:cNvPr id="39" name="Semester">
              <a:extLst>
                <a:ext uri="{FF2B5EF4-FFF2-40B4-BE49-F238E27FC236}">
                  <a16:creationId xmlns:a16="http://schemas.microsoft.com/office/drawing/2014/main" id="{D9863028-0DAA-4DFA-B8B0-BF6679B04081}"/>
                </a:ext>
              </a:extLst>
            </xdr:cNvPr>
            <xdr:cNvGraphicFramePr/>
          </xdr:nvGraphicFramePr>
          <xdr:xfrm>
            <a:off x="0" y="0"/>
            <a:ext cx="0" cy="0"/>
          </xdr:xfrm>
          <a:graphic>
            <a:graphicData uri="http://schemas.microsoft.com/office/drawing/2010/slicer">
              <sle:slicer xmlns:sle="http://schemas.microsoft.com/office/drawing/2010/slicer" name="Semester"/>
            </a:graphicData>
          </a:graphic>
        </xdr:graphicFrame>
      </mc:Choice>
      <mc:Fallback xmlns="">
        <xdr:sp macro="" textlink="">
          <xdr:nvSpPr>
            <xdr:cNvPr id="0" name=""/>
            <xdr:cNvSpPr>
              <a:spLocks noTextEdit="1"/>
            </xdr:cNvSpPr>
          </xdr:nvSpPr>
          <xdr:spPr>
            <a:xfrm>
              <a:off x="152400" y="2343150"/>
              <a:ext cx="1704975" cy="16887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22</xdr:row>
      <xdr:rowOff>114300</xdr:rowOff>
    </xdr:from>
    <xdr:to>
      <xdr:col>3</xdr:col>
      <xdr:colOff>28575</xdr:colOff>
      <xdr:row>33</xdr:row>
      <xdr:rowOff>91983</xdr:rowOff>
    </xdr:to>
    <mc:AlternateContent xmlns:mc="http://schemas.openxmlformats.org/markup-compatibility/2006" xmlns:a14="http://schemas.microsoft.com/office/drawing/2010/main">
      <mc:Choice Requires="a14">
        <xdr:graphicFrame macro="">
          <xdr:nvGraphicFramePr>
            <xdr:cNvPr id="41" name="City">
              <a:extLst>
                <a:ext uri="{FF2B5EF4-FFF2-40B4-BE49-F238E27FC236}">
                  <a16:creationId xmlns:a16="http://schemas.microsoft.com/office/drawing/2014/main" id="{585FAB94-FED0-465B-AD6B-67A53DEE40E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52400" y="4095750"/>
              <a:ext cx="1704975" cy="1968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33</xdr:row>
      <xdr:rowOff>133350</xdr:rowOff>
    </xdr:from>
    <xdr:to>
      <xdr:col>3</xdr:col>
      <xdr:colOff>38100</xdr:colOff>
      <xdr:row>41</xdr:row>
      <xdr:rowOff>174250</xdr:rowOff>
    </xdr:to>
    <mc:AlternateContent xmlns:mc="http://schemas.openxmlformats.org/markup-compatibility/2006" xmlns:a14="http://schemas.microsoft.com/office/drawing/2010/main">
      <mc:Choice Requires="a14">
        <xdr:graphicFrame macro="">
          <xdr:nvGraphicFramePr>
            <xdr:cNvPr id="42" name="Department">
              <a:extLst>
                <a:ext uri="{FF2B5EF4-FFF2-40B4-BE49-F238E27FC236}">
                  <a16:creationId xmlns:a16="http://schemas.microsoft.com/office/drawing/2014/main" id="{A0350A68-233D-4148-AF94-E15177684F3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3350" y="6105525"/>
              <a:ext cx="1733550" cy="148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323625</xdr:colOff>
      <xdr:row>4</xdr:row>
      <xdr:rowOff>128255</xdr:rowOff>
    </xdr:from>
    <xdr:to>
      <xdr:col>7</xdr:col>
      <xdr:colOff>135030</xdr:colOff>
      <xdr:row>9</xdr:row>
      <xdr:rowOff>560</xdr:rowOff>
    </xdr:to>
    <xdr:grpSp>
      <xdr:nvGrpSpPr>
        <xdr:cNvPr id="60" name="Group 59">
          <a:extLst>
            <a:ext uri="{FF2B5EF4-FFF2-40B4-BE49-F238E27FC236}">
              <a16:creationId xmlns:a16="http://schemas.microsoft.com/office/drawing/2014/main" id="{0AAB7B7B-4221-FEC2-7279-16643E2FF8A5}"/>
            </a:ext>
          </a:extLst>
        </xdr:cNvPr>
        <xdr:cNvGrpSpPr/>
      </xdr:nvGrpSpPr>
      <xdr:grpSpPr>
        <a:xfrm>
          <a:off x="2152425" y="868484"/>
          <a:ext cx="2249805" cy="797590"/>
          <a:chOff x="1685700" y="840440"/>
          <a:chExt cx="2249805" cy="770457"/>
        </a:xfrm>
        <a:solidFill>
          <a:schemeClr val="bg2">
            <a:lumMod val="75000"/>
          </a:schemeClr>
        </a:solidFill>
        <a:effectLst>
          <a:outerShdw blurRad="50800" dist="38100" dir="2700000" algn="tl" rotWithShape="0">
            <a:prstClr val="black">
              <a:alpha val="40000"/>
            </a:prstClr>
          </a:outerShdw>
        </a:effectLst>
      </xdr:grpSpPr>
      <xdr:sp macro="" textlink="">
        <xdr:nvSpPr>
          <xdr:cNvPr id="11" name="Rectangle 10">
            <a:extLst>
              <a:ext uri="{FF2B5EF4-FFF2-40B4-BE49-F238E27FC236}">
                <a16:creationId xmlns:a16="http://schemas.microsoft.com/office/drawing/2014/main" id="{F0C33086-8A96-49FB-8C7F-4751D61055E4}"/>
              </a:ext>
            </a:extLst>
          </xdr:cNvPr>
          <xdr:cNvSpPr/>
        </xdr:nvSpPr>
        <xdr:spPr>
          <a:xfrm>
            <a:off x="1685700" y="840440"/>
            <a:ext cx="2249805" cy="770457"/>
          </a:xfrm>
          <a:prstGeom prst="rect">
            <a:avLst/>
          </a:prstGeom>
          <a:grp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3" name="TextBox 42">
            <a:extLst>
              <a:ext uri="{FF2B5EF4-FFF2-40B4-BE49-F238E27FC236}">
                <a16:creationId xmlns:a16="http://schemas.microsoft.com/office/drawing/2014/main" id="{33A016FE-F913-EE4C-E4AA-C1E5ABF115EB}"/>
              </a:ext>
            </a:extLst>
          </xdr:cNvPr>
          <xdr:cNvSpPr txBox="1"/>
        </xdr:nvSpPr>
        <xdr:spPr>
          <a:xfrm>
            <a:off x="2348312" y="884251"/>
            <a:ext cx="1507672" cy="32653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STUDENTS</a:t>
            </a:r>
          </a:p>
        </xdr:txBody>
      </xdr:sp>
      <xdr:sp macro="" textlink="'Student_Pivot '!C16">
        <xdr:nvSpPr>
          <xdr:cNvPr id="46" name="TextBox 45">
            <a:extLst>
              <a:ext uri="{FF2B5EF4-FFF2-40B4-BE49-F238E27FC236}">
                <a16:creationId xmlns:a16="http://schemas.microsoft.com/office/drawing/2014/main" id="{046EFDDA-7947-F0D1-C1DD-F51069363E7A}"/>
              </a:ext>
            </a:extLst>
          </xdr:cNvPr>
          <xdr:cNvSpPr txBox="1"/>
        </xdr:nvSpPr>
        <xdr:spPr>
          <a:xfrm>
            <a:off x="2530688" y="1125445"/>
            <a:ext cx="794658" cy="413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63FD6D0-9979-4C3C-8ABC-178D848CDFB3}" type="TxLink">
              <a:rPr lang="en-US" sz="2400" b="1" i="0" u="none" strike="noStrike">
                <a:solidFill>
                  <a:srgbClr val="000000"/>
                </a:solidFill>
                <a:latin typeface="Calibri"/>
                <a:ea typeface="Calibri"/>
                <a:cs typeface="Calibri"/>
              </a:rPr>
              <a:pPr marL="0" indent="0" algn="ctr"/>
              <a:t>120</a:t>
            </a:fld>
            <a:endParaRPr lang="en-IN" sz="2400" b="1" i="0" u="none" strike="noStrike">
              <a:solidFill>
                <a:srgbClr val="000000"/>
              </a:solidFill>
              <a:latin typeface="Calibri"/>
              <a:ea typeface="Calibri"/>
              <a:cs typeface="Calibri"/>
            </a:endParaRPr>
          </a:p>
        </xdr:txBody>
      </xdr:sp>
    </xdr:grpSp>
    <xdr:clientData/>
  </xdr:twoCellAnchor>
  <xdr:twoCellAnchor>
    <xdr:from>
      <xdr:col>15</xdr:col>
      <xdr:colOff>544941</xdr:colOff>
      <xdr:row>4</xdr:row>
      <xdr:rowOff>128432</xdr:rowOff>
    </xdr:from>
    <xdr:to>
      <xdr:col>19</xdr:col>
      <xdr:colOff>497316</xdr:colOff>
      <xdr:row>9</xdr:row>
      <xdr:rowOff>560</xdr:rowOff>
    </xdr:to>
    <xdr:grpSp>
      <xdr:nvGrpSpPr>
        <xdr:cNvPr id="57" name="Group 56">
          <a:extLst>
            <a:ext uri="{FF2B5EF4-FFF2-40B4-BE49-F238E27FC236}">
              <a16:creationId xmlns:a16="http://schemas.microsoft.com/office/drawing/2014/main" id="{1E5F8AE6-FF14-BAD7-B051-2297D7C41773}"/>
            </a:ext>
          </a:extLst>
        </xdr:cNvPr>
        <xdr:cNvGrpSpPr/>
      </xdr:nvGrpSpPr>
      <xdr:grpSpPr>
        <a:xfrm>
          <a:off x="9688941" y="868661"/>
          <a:ext cx="2390775" cy="797413"/>
          <a:chOff x="9146577" y="813547"/>
          <a:chExt cx="2390775" cy="770457"/>
        </a:xfrm>
        <a:solidFill>
          <a:schemeClr val="accent6">
            <a:lumMod val="40000"/>
            <a:lumOff val="60000"/>
          </a:schemeClr>
        </a:solidFill>
        <a:effectLst>
          <a:outerShdw blurRad="50800" dist="38100" dir="2700000" algn="tl" rotWithShape="0">
            <a:prstClr val="black">
              <a:alpha val="40000"/>
            </a:prstClr>
          </a:outerShdw>
        </a:effectLst>
      </xdr:grpSpPr>
      <xdr:grpSp>
        <xdr:nvGrpSpPr>
          <xdr:cNvPr id="19" name="Group 18">
            <a:extLst>
              <a:ext uri="{FF2B5EF4-FFF2-40B4-BE49-F238E27FC236}">
                <a16:creationId xmlns:a16="http://schemas.microsoft.com/office/drawing/2014/main" id="{37031869-D073-D28C-183F-E9DDA3349583}"/>
              </a:ext>
            </a:extLst>
          </xdr:cNvPr>
          <xdr:cNvGrpSpPr/>
        </xdr:nvGrpSpPr>
        <xdr:grpSpPr>
          <a:xfrm>
            <a:off x="9146577" y="813547"/>
            <a:ext cx="2390775" cy="770457"/>
            <a:chOff x="9065894" y="831476"/>
            <a:chExt cx="2390775" cy="770457"/>
          </a:xfrm>
          <a:grpFill/>
          <a:effectLst/>
        </xdr:grpSpPr>
        <xdr:sp macro="" textlink="">
          <xdr:nvSpPr>
            <xdr:cNvPr id="14" name="Rectangle 13">
              <a:extLst>
                <a:ext uri="{FF2B5EF4-FFF2-40B4-BE49-F238E27FC236}">
                  <a16:creationId xmlns:a16="http://schemas.microsoft.com/office/drawing/2014/main" id="{F99B9490-D6D9-4216-A076-241EB504A546}"/>
                </a:ext>
              </a:extLst>
            </xdr:cNvPr>
            <xdr:cNvSpPr/>
          </xdr:nvSpPr>
          <xdr:spPr>
            <a:xfrm>
              <a:off x="9065894" y="831476"/>
              <a:ext cx="2390775" cy="770457"/>
            </a:xfrm>
            <a:prstGeom prst="rect">
              <a:avLst/>
            </a:prstGeom>
            <a:grp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TextBox 9">
              <a:extLst>
                <a:ext uri="{FF2B5EF4-FFF2-40B4-BE49-F238E27FC236}">
                  <a16:creationId xmlns:a16="http://schemas.microsoft.com/office/drawing/2014/main" id="{0CAF02A4-608E-1884-C3A6-2EA07E407EFF}"/>
                </a:ext>
              </a:extLst>
            </xdr:cNvPr>
            <xdr:cNvSpPr txBox="1"/>
          </xdr:nvSpPr>
          <xdr:spPr>
            <a:xfrm>
              <a:off x="9863717" y="871158"/>
              <a:ext cx="1108293" cy="30448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solidFill>
                    <a:schemeClr val="dk1"/>
                  </a:solidFill>
                  <a:latin typeface="+mn-lt"/>
                  <a:ea typeface="+mn-ea"/>
                  <a:cs typeface="+mn-cs"/>
                </a:rPr>
                <a:t>PASS</a:t>
              </a:r>
              <a:r>
                <a:rPr lang="en-IN" sz="1100"/>
                <a:t> </a:t>
              </a:r>
              <a:r>
                <a:rPr lang="en-IN" sz="1600" b="1">
                  <a:solidFill>
                    <a:schemeClr val="dk1"/>
                  </a:solidFill>
                  <a:latin typeface="+mn-lt"/>
                  <a:ea typeface="+mn-ea"/>
                  <a:cs typeface="+mn-cs"/>
                </a:rPr>
                <a:t>RATE</a:t>
              </a:r>
            </a:p>
          </xdr:txBody>
        </xdr:sp>
      </xdr:grpSp>
      <xdr:sp macro="" textlink="'Student_Pivot '!H12">
        <xdr:nvSpPr>
          <xdr:cNvPr id="26" name="TextBox 25">
            <a:extLst>
              <a:ext uri="{FF2B5EF4-FFF2-40B4-BE49-F238E27FC236}">
                <a16:creationId xmlns:a16="http://schemas.microsoft.com/office/drawing/2014/main" id="{7EAAC6B6-AA35-554F-0012-67B585D6E803}"/>
              </a:ext>
            </a:extLst>
          </xdr:cNvPr>
          <xdr:cNvSpPr txBox="1"/>
        </xdr:nvSpPr>
        <xdr:spPr>
          <a:xfrm>
            <a:off x="9997973" y="1155279"/>
            <a:ext cx="911379" cy="22731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F6DA632-2652-4035-803F-2E0D8AB24085}" type="TxLink">
              <a:rPr lang="en-US" sz="2400" b="1" i="0" u="none" strike="noStrike">
                <a:solidFill>
                  <a:srgbClr val="000000"/>
                </a:solidFill>
                <a:latin typeface="Calibri"/>
                <a:ea typeface="Calibri"/>
                <a:cs typeface="Calibri"/>
              </a:rPr>
              <a:pPr marL="0" indent="0" algn="ctr"/>
              <a:t>90%</a:t>
            </a:fld>
            <a:endParaRPr lang="en-IN" sz="2400" b="1" i="0" u="none" strike="noStrike">
              <a:solidFill>
                <a:srgbClr val="000000"/>
              </a:solidFill>
              <a:latin typeface="Calibri"/>
              <a:ea typeface="Calibri"/>
              <a:cs typeface="Calibri"/>
            </a:endParaRPr>
          </a:p>
        </xdr:txBody>
      </xdr:sp>
    </xdr:grpSp>
    <xdr:clientData/>
  </xdr:twoCellAnchor>
  <xdr:twoCellAnchor>
    <xdr:from>
      <xdr:col>19</xdr:col>
      <xdr:colOff>248881</xdr:colOff>
      <xdr:row>9</xdr:row>
      <xdr:rowOff>164027</xdr:rowOff>
    </xdr:from>
    <xdr:to>
      <xdr:col>27</xdr:col>
      <xdr:colOff>443192</xdr:colOff>
      <xdr:row>25</xdr:row>
      <xdr:rowOff>23392</xdr:rowOff>
    </xdr:to>
    <xdr:grpSp>
      <xdr:nvGrpSpPr>
        <xdr:cNvPr id="40" name="Group 39">
          <a:extLst>
            <a:ext uri="{FF2B5EF4-FFF2-40B4-BE49-F238E27FC236}">
              <a16:creationId xmlns:a16="http://schemas.microsoft.com/office/drawing/2014/main" id="{20EE0A74-2169-7583-EB7F-AB2BBA219593}"/>
            </a:ext>
          </a:extLst>
        </xdr:cNvPr>
        <xdr:cNvGrpSpPr/>
      </xdr:nvGrpSpPr>
      <xdr:grpSpPr>
        <a:xfrm>
          <a:off x="11831281" y="1829541"/>
          <a:ext cx="5071111" cy="2820280"/>
          <a:chOff x="11111864" y="1840566"/>
          <a:chExt cx="5071111" cy="2559648"/>
        </a:xfrm>
        <a:effectLst>
          <a:outerShdw blurRad="50800" dist="38100" dir="2700000" algn="tl" rotWithShape="0">
            <a:prstClr val="black">
              <a:alpha val="40000"/>
            </a:prstClr>
          </a:outerShdw>
        </a:effectLst>
      </xdr:grpSpPr>
      <xdr:sp macro="" textlink="">
        <xdr:nvSpPr>
          <xdr:cNvPr id="20" name="Rectangle 19">
            <a:extLst>
              <a:ext uri="{FF2B5EF4-FFF2-40B4-BE49-F238E27FC236}">
                <a16:creationId xmlns:a16="http://schemas.microsoft.com/office/drawing/2014/main" id="{E54D12B8-9534-45DE-96BC-F37D56262F91}"/>
              </a:ext>
            </a:extLst>
          </xdr:cNvPr>
          <xdr:cNvSpPr/>
        </xdr:nvSpPr>
        <xdr:spPr>
          <a:xfrm>
            <a:off x="11111864" y="1840566"/>
            <a:ext cx="5071111" cy="255964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900"/>
          </a:p>
        </xdr:txBody>
      </xdr:sp>
      <xdr:graphicFrame macro="">
        <xdr:nvGraphicFramePr>
          <xdr:cNvPr id="37" name="Chart 36">
            <a:extLst>
              <a:ext uri="{FF2B5EF4-FFF2-40B4-BE49-F238E27FC236}">
                <a16:creationId xmlns:a16="http://schemas.microsoft.com/office/drawing/2014/main" id="{83A6D1F2-62D7-44D8-9D35-C515AF3557FB}"/>
              </a:ext>
            </a:extLst>
          </xdr:cNvPr>
          <xdr:cNvGraphicFramePr>
            <a:graphicFrameLocks/>
          </xdr:cNvGraphicFramePr>
        </xdr:nvGraphicFramePr>
        <xdr:xfrm>
          <a:off x="11161060" y="1855695"/>
          <a:ext cx="4975410" cy="2510118"/>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3</xdr:col>
      <xdr:colOff>310445</xdr:colOff>
      <xdr:row>25</xdr:row>
      <xdr:rowOff>159682</xdr:rowOff>
    </xdr:from>
    <xdr:to>
      <xdr:col>11</xdr:col>
      <xdr:colOff>479778</xdr:colOff>
      <xdr:row>41</xdr:row>
      <xdr:rowOff>159682</xdr:rowOff>
    </xdr:to>
    <xdr:grpSp>
      <xdr:nvGrpSpPr>
        <xdr:cNvPr id="47" name="Group 46">
          <a:extLst>
            <a:ext uri="{FF2B5EF4-FFF2-40B4-BE49-F238E27FC236}">
              <a16:creationId xmlns:a16="http://schemas.microsoft.com/office/drawing/2014/main" id="{4A95FD6F-7414-6F8D-ACAD-2AA3D3C6E87B}"/>
            </a:ext>
          </a:extLst>
        </xdr:cNvPr>
        <xdr:cNvGrpSpPr/>
      </xdr:nvGrpSpPr>
      <xdr:grpSpPr>
        <a:xfrm>
          <a:off x="2139245" y="4786111"/>
          <a:ext cx="5046133" cy="2960914"/>
          <a:chOff x="1546858" y="4658478"/>
          <a:chExt cx="4958716" cy="2589486"/>
        </a:xfrm>
        <a:effectLst>
          <a:outerShdw blurRad="50800" dist="38100" dir="2700000" algn="tl" rotWithShape="0">
            <a:prstClr val="black">
              <a:alpha val="40000"/>
            </a:prstClr>
          </a:outerShdw>
        </a:effectLst>
      </xdr:grpSpPr>
      <xdr:sp macro="" textlink="">
        <xdr:nvSpPr>
          <xdr:cNvPr id="18" name="Rectangle 17">
            <a:extLst>
              <a:ext uri="{FF2B5EF4-FFF2-40B4-BE49-F238E27FC236}">
                <a16:creationId xmlns:a16="http://schemas.microsoft.com/office/drawing/2014/main" id="{FD7AF311-C1B2-4EF2-B55B-2CF15EC5B6B1}"/>
              </a:ext>
            </a:extLst>
          </xdr:cNvPr>
          <xdr:cNvSpPr/>
        </xdr:nvSpPr>
        <xdr:spPr>
          <a:xfrm>
            <a:off x="1550894" y="4658478"/>
            <a:ext cx="4954680" cy="258948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5" name="Chart 44">
            <a:extLst>
              <a:ext uri="{FF2B5EF4-FFF2-40B4-BE49-F238E27FC236}">
                <a16:creationId xmlns:a16="http://schemas.microsoft.com/office/drawing/2014/main" id="{F052B61B-1E4D-4378-9BB2-952B835F4850}"/>
              </a:ext>
            </a:extLst>
          </xdr:cNvPr>
          <xdr:cNvGraphicFramePr>
            <a:graphicFrameLocks/>
          </xdr:cNvGraphicFramePr>
        </xdr:nvGraphicFramePr>
        <xdr:xfrm>
          <a:off x="1546858" y="4658478"/>
          <a:ext cx="4916695" cy="25550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12</xdr:col>
      <xdr:colOff>5018</xdr:colOff>
      <xdr:row>25</xdr:row>
      <xdr:rowOff>123824</xdr:rowOff>
    </xdr:from>
    <xdr:to>
      <xdr:col>19</xdr:col>
      <xdr:colOff>107271</xdr:colOff>
      <xdr:row>41</xdr:row>
      <xdr:rowOff>159682</xdr:rowOff>
    </xdr:to>
    <xdr:grpSp>
      <xdr:nvGrpSpPr>
        <xdr:cNvPr id="51" name="Group 50">
          <a:extLst>
            <a:ext uri="{FF2B5EF4-FFF2-40B4-BE49-F238E27FC236}">
              <a16:creationId xmlns:a16="http://schemas.microsoft.com/office/drawing/2014/main" id="{56055335-9771-8836-1F57-8D0DE567F9BD}"/>
            </a:ext>
          </a:extLst>
        </xdr:cNvPr>
        <xdr:cNvGrpSpPr/>
      </xdr:nvGrpSpPr>
      <xdr:grpSpPr>
        <a:xfrm>
          <a:off x="7320218" y="4750253"/>
          <a:ext cx="4369453" cy="2996772"/>
          <a:chOff x="6617634" y="4589930"/>
          <a:chExt cx="4369453" cy="2707342"/>
        </a:xfrm>
        <a:effectLst>
          <a:outerShdw blurRad="50800" dist="38100" dir="2700000" algn="tl" rotWithShape="0">
            <a:prstClr val="black">
              <a:alpha val="40000"/>
            </a:prstClr>
          </a:outerShdw>
        </a:effectLst>
      </xdr:grpSpPr>
      <xdr:sp macro="" textlink="">
        <xdr:nvSpPr>
          <xdr:cNvPr id="22" name="Rectangle 21">
            <a:extLst>
              <a:ext uri="{FF2B5EF4-FFF2-40B4-BE49-F238E27FC236}">
                <a16:creationId xmlns:a16="http://schemas.microsoft.com/office/drawing/2014/main" id="{1404DC7C-945F-27AD-CC1E-DE6011C298A3}"/>
              </a:ext>
            </a:extLst>
          </xdr:cNvPr>
          <xdr:cNvSpPr/>
        </xdr:nvSpPr>
        <xdr:spPr>
          <a:xfrm>
            <a:off x="6634162" y="4589930"/>
            <a:ext cx="4352925" cy="270734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1="http://schemas.microsoft.com/office/drawing/2015/9/8/chartex" Requires="cx1">
          <xdr:graphicFrame macro="">
            <xdr:nvGraphicFramePr>
              <xdr:cNvPr id="50" name="Chart 49">
                <a:extLst>
                  <a:ext uri="{FF2B5EF4-FFF2-40B4-BE49-F238E27FC236}">
                    <a16:creationId xmlns:a16="http://schemas.microsoft.com/office/drawing/2014/main" id="{1ECCE530-3E5F-4C91-837A-BAA130EBC0E6}"/>
                  </a:ext>
                </a:extLst>
              </xdr:cNvPr>
              <xdr:cNvGraphicFramePr/>
            </xdr:nvGraphicFramePr>
            <xdr:xfrm>
              <a:off x="6617634" y="4590433"/>
              <a:ext cx="4356847" cy="2644588"/>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617634" y="4590433"/>
                <a:ext cx="4356847" cy="26445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19</xdr:col>
      <xdr:colOff>293266</xdr:colOff>
      <xdr:row>25</xdr:row>
      <xdr:rowOff>152015</xdr:rowOff>
    </xdr:from>
    <xdr:to>
      <xdr:col>27</xdr:col>
      <xdr:colOff>461362</xdr:colOff>
      <xdr:row>41</xdr:row>
      <xdr:rowOff>167350</xdr:rowOff>
    </xdr:to>
    <xdr:graphicFrame macro="">
      <xdr:nvGraphicFramePr>
        <xdr:cNvPr id="52" name="Chart 51">
          <a:extLst>
            <a:ext uri="{FF2B5EF4-FFF2-40B4-BE49-F238E27FC236}">
              <a16:creationId xmlns:a16="http://schemas.microsoft.com/office/drawing/2014/main" id="{CD816E5D-6B92-48F4-ADB6-4D1877592B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135590</xdr:colOff>
      <xdr:row>4</xdr:row>
      <xdr:rowOff>126478</xdr:rowOff>
    </xdr:from>
    <xdr:to>
      <xdr:col>27</xdr:col>
      <xdr:colOff>458319</xdr:colOff>
      <xdr:row>9</xdr:row>
      <xdr:rowOff>560</xdr:rowOff>
    </xdr:to>
    <xdr:grpSp>
      <xdr:nvGrpSpPr>
        <xdr:cNvPr id="61" name="Group 60">
          <a:extLst>
            <a:ext uri="{FF2B5EF4-FFF2-40B4-BE49-F238E27FC236}">
              <a16:creationId xmlns:a16="http://schemas.microsoft.com/office/drawing/2014/main" id="{471ADCCA-60C5-1786-911C-0C10C07A9C55}"/>
            </a:ext>
          </a:extLst>
        </xdr:cNvPr>
        <xdr:cNvGrpSpPr/>
      </xdr:nvGrpSpPr>
      <xdr:grpSpPr>
        <a:xfrm>
          <a:off x="14765990" y="866707"/>
          <a:ext cx="2151529" cy="799367"/>
          <a:chOff x="14137340" y="829139"/>
          <a:chExt cx="2151529" cy="777276"/>
        </a:xfrm>
        <a:solidFill>
          <a:schemeClr val="accent2">
            <a:lumMod val="60000"/>
            <a:lumOff val="40000"/>
          </a:schemeClr>
        </a:solidFill>
        <a:effectLst>
          <a:outerShdw blurRad="50800" dist="38100" dir="2700000" algn="tl" rotWithShape="0">
            <a:prstClr val="black">
              <a:alpha val="40000"/>
            </a:prstClr>
          </a:outerShdw>
        </a:effectLst>
      </xdr:grpSpPr>
      <xdr:grpSp>
        <xdr:nvGrpSpPr>
          <xdr:cNvPr id="55" name="Group 54">
            <a:extLst>
              <a:ext uri="{FF2B5EF4-FFF2-40B4-BE49-F238E27FC236}">
                <a16:creationId xmlns:a16="http://schemas.microsoft.com/office/drawing/2014/main" id="{17668431-CFCF-0FB7-33F4-C41856886E97}"/>
              </a:ext>
            </a:extLst>
          </xdr:cNvPr>
          <xdr:cNvGrpSpPr/>
        </xdr:nvGrpSpPr>
        <xdr:grpSpPr>
          <a:xfrm>
            <a:off x="14137340" y="829139"/>
            <a:ext cx="2151529" cy="777276"/>
            <a:chOff x="14020799" y="841131"/>
            <a:chExt cx="2151529" cy="780111"/>
          </a:xfrm>
          <a:grpFill/>
        </xdr:grpSpPr>
        <xdr:sp macro="" textlink="">
          <xdr:nvSpPr>
            <xdr:cNvPr id="23" name="Rectangle 22">
              <a:extLst>
                <a:ext uri="{FF2B5EF4-FFF2-40B4-BE49-F238E27FC236}">
                  <a16:creationId xmlns:a16="http://schemas.microsoft.com/office/drawing/2014/main" id="{465BA763-9F3C-4193-8784-62B675480D4B}"/>
                </a:ext>
              </a:extLst>
            </xdr:cNvPr>
            <xdr:cNvSpPr/>
          </xdr:nvSpPr>
          <xdr:spPr>
            <a:xfrm>
              <a:off x="14020799" y="841131"/>
              <a:ext cx="2151529" cy="780111"/>
            </a:xfrm>
            <a:prstGeom prst="rect">
              <a:avLst/>
            </a:prstGeom>
            <a:grp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TextBox 53">
              <a:extLst>
                <a:ext uri="{FF2B5EF4-FFF2-40B4-BE49-F238E27FC236}">
                  <a16:creationId xmlns:a16="http://schemas.microsoft.com/office/drawing/2014/main" id="{545EDAE0-1348-8497-157E-CE929CB7199C}"/>
                </a:ext>
              </a:extLst>
            </xdr:cNvPr>
            <xdr:cNvSpPr txBox="1"/>
          </xdr:nvSpPr>
          <xdr:spPr>
            <a:xfrm>
              <a:off x="14494809" y="895142"/>
              <a:ext cx="1613150" cy="32105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dk1"/>
                  </a:solidFill>
                  <a:latin typeface="+mn-lt"/>
                  <a:ea typeface="+mn-ea"/>
                  <a:cs typeface="+mn-cs"/>
                </a:rPr>
                <a:t>LOW</a:t>
              </a:r>
              <a:r>
                <a:rPr lang="en-IN" sz="1050"/>
                <a:t> </a:t>
              </a:r>
              <a:r>
                <a:rPr lang="en-IN" sz="1400" b="1">
                  <a:solidFill>
                    <a:schemeClr val="dk1"/>
                  </a:solidFill>
                  <a:latin typeface="+mn-lt"/>
                  <a:ea typeface="+mn-ea"/>
                  <a:cs typeface="+mn-cs"/>
                </a:rPr>
                <a:t>ATTENDANCE</a:t>
              </a:r>
            </a:p>
          </xdr:txBody>
        </xdr:sp>
      </xdr:grpSp>
      <xdr:sp macro="" textlink="'Student_Pivot '!H17">
        <xdr:nvSpPr>
          <xdr:cNvPr id="56" name="TextBox 55">
            <a:extLst>
              <a:ext uri="{FF2B5EF4-FFF2-40B4-BE49-F238E27FC236}">
                <a16:creationId xmlns:a16="http://schemas.microsoft.com/office/drawing/2014/main" id="{AFCE4B32-DF66-8FCE-3D85-B10AA4EAFB92}"/>
              </a:ext>
            </a:extLst>
          </xdr:cNvPr>
          <xdr:cNvSpPr txBox="1"/>
        </xdr:nvSpPr>
        <xdr:spPr>
          <a:xfrm>
            <a:off x="14982806" y="1119286"/>
            <a:ext cx="847744" cy="30584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D9F3963-7036-4D4F-9BEE-91A897A14022}" type="TxLink">
              <a:rPr lang="en-US" sz="2400" b="1" i="0" u="none" strike="noStrike">
                <a:solidFill>
                  <a:srgbClr val="000000"/>
                </a:solidFill>
                <a:latin typeface="Calibri"/>
                <a:ea typeface="Calibri"/>
                <a:cs typeface="Calibri"/>
              </a:rPr>
              <a:pPr marL="0" indent="0" algn="ctr"/>
              <a:t>44%</a:t>
            </a:fld>
            <a:endParaRPr lang="en-IN" sz="2400" b="1" i="0" u="none" strike="noStrike">
              <a:solidFill>
                <a:srgbClr val="000000"/>
              </a:solidFill>
              <a:latin typeface="Calibri"/>
              <a:ea typeface="Calibri"/>
              <a:cs typeface="Calibri"/>
            </a:endParaRPr>
          </a:p>
        </xdr:txBody>
      </xdr:sp>
    </xdr:grpSp>
    <xdr:clientData/>
  </xdr:twoCellAnchor>
  <xdr:twoCellAnchor editAs="oneCell">
    <xdr:from>
      <xdr:col>0</xdr:col>
      <xdr:colOff>161925</xdr:colOff>
      <xdr:row>4</xdr:row>
      <xdr:rowOff>85725</xdr:rowOff>
    </xdr:from>
    <xdr:to>
      <xdr:col>3</xdr:col>
      <xdr:colOff>38100</xdr:colOff>
      <xdr:row>12</xdr:row>
      <xdr:rowOff>95250</xdr:rowOff>
    </xdr:to>
    <mc:AlternateContent xmlns:mc="http://schemas.openxmlformats.org/markup-compatibility/2006" xmlns:a14="http://schemas.microsoft.com/office/drawing/2010/main">
      <mc:Choice Requires="a14">
        <xdr:graphicFrame macro="">
          <xdr:nvGraphicFramePr>
            <xdr:cNvPr id="63" name="Course">
              <a:extLst>
                <a:ext uri="{FF2B5EF4-FFF2-40B4-BE49-F238E27FC236}">
                  <a16:creationId xmlns:a16="http://schemas.microsoft.com/office/drawing/2014/main" id="{9BE162D9-79CC-4549-90D5-2D6B2AD71860}"/>
                </a:ext>
              </a:extLst>
            </xdr:cNvPr>
            <xdr:cNvGraphicFramePr/>
          </xdr:nvGraphicFramePr>
          <xdr:xfrm>
            <a:off x="0" y="0"/>
            <a:ext cx="0" cy="0"/>
          </xdr:xfrm>
          <a:graphic>
            <a:graphicData uri="http://schemas.microsoft.com/office/drawing/2010/slicer">
              <sle:slicer xmlns:sle="http://schemas.microsoft.com/office/drawing/2010/slicer" name="Course"/>
            </a:graphicData>
          </a:graphic>
        </xdr:graphicFrame>
      </mc:Choice>
      <mc:Fallback xmlns="">
        <xdr:sp macro="" textlink="">
          <xdr:nvSpPr>
            <xdr:cNvPr id="0" name=""/>
            <xdr:cNvSpPr>
              <a:spLocks noTextEdit="1"/>
            </xdr:cNvSpPr>
          </xdr:nvSpPr>
          <xdr:spPr>
            <a:xfrm>
              <a:off x="161925" y="809625"/>
              <a:ext cx="1704975" cy="1457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354217</xdr:colOff>
      <xdr:row>4</xdr:row>
      <xdr:rowOff>62754</xdr:rowOff>
    </xdr:from>
    <xdr:to>
      <xdr:col>11</xdr:col>
      <xdr:colOff>278017</xdr:colOff>
      <xdr:row>9</xdr:row>
      <xdr:rowOff>560</xdr:rowOff>
    </xdr:to>
    <xdr:grpSp>
      <xdr:nvGrpSpPr>
        <xdr:cNvPr id="33" name="Group 32">
          <a:extLst>
            <a:ext uri="{FF2B5EF4-FFF2-40B4-BE49-F238E27FC236}">
              <a16:creationId xmlns:a16="http://schemas.microsoft.com/office/drawing/2014/main" id="{B9E5A11D-874B-E9CD-DA86-A3A22286062A}"/>
            </a:ext>
          </a:extLst>
        </xdr:cNvPr>
        <xdr:cNvGrpSpPr/>
      </xdr:nvGrpSpPr>
      <xdr:grpSpPr>
        <a:xfrm>
          <a:off x="4621417" y="802983"/>
          <a:ext cx="2362200" cy="863091"/>
          <a:chOff x="4621417" y="779930"/>
          <a:chExt cx="2362200" cy="834277"/>
        </a:xfrm>
      </xdr:grpSpPr>
      <xdr:grpSp>
        <xdr:nvGrpSpPr>
          <xdr:cNvPr id="59" name="Group 58">
            <a:extLst>
              <a:ext uri="{FF2B5EF4-FFF2-40B4-BE49-F238E27FC236}">
                <a16:creationId xmlns:a16="http://schemas.microsoft.com/office/drawing/2014/main" id="{A6D78D0A-8D16-FF63-9261-44BC0BB94E75}"/>
              </a:ext>
            </a:extLst>
          </xdr:cNvPr>
          <xdr:cNvGrpSpPr/>
        </xdr:nvGrpSpPr>
        <xdr:grpSpPr>
          <a:xfrm>
            <a:off x="4621417" y="845608"/>
            <a:ext cx="2362200" cy="768599"/>
            <a:chOff x="4120514" y="831476"/>
            <a:chExt cx="2362200" cy="770457"/>
          </a:xfrm>
          <a:solidFill>
            <a:schemeClr val="accent4">
              <a:lumMod val="40000"/>
              <a:lumOff val="60000"/>
            </a:schemeClr>
          </a:solidFill>
          <a:effectLst>
            <a:outerShdw blurRad="50800" dist="38100" dir="2700000" algn="tl" rotWithShape="0">
              <a:prstClr val="black">
                <a:alpha val="40000"/>
              </a:prstClr>
            </a:outerShdw>
          </a:effectLst>
        </xdr:grpSpPr>
        <xdr:sp macro="" textlink="">
          <xdr:nvSpPr>
            <xdr:cNvPr id="12" name="Rectangle 11">
              <a:extLst>
                <a:ext uri="{FF2B5EF4-FFF2-40B4-BE49-F238E27FC236}">
                  <a16:creationId xmlns:a16="http://schemas.microsoft.com/office/drawing/2014/main" id="{69BC6C7B-E469-4A2C-8E9D-98F91C1ABA5E}"/>
                </a:ext>
              </a:extLst>
            </xdr:cNvPr>
            <xdr:cNvSpPr/>
          </xdr:nvSpPr>
          <xdr:spPr>
            <a:xfrm>
              <a:off x="4120514" y="831476"/>
              <a:ext cx="2362200" cy="770457"/>
            </a:xfrm>
            <a:prstGeom prst="rect">
              <a:avLst/>
            </a:prstGeom>
            <a:grp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8" name="TextBox 47">
              <a:extLst>
                <a:ext uri="{FF2B5EF4-FFF2-40B4-BE49-F238E27FC236}">
                  <a16:creationId xmlns:a16="http://schemas.microsoft.com/office/drawing/2014/main" id="{7B830F5A-CA52-D432-8C39-9CC3F53B2F48}"/>
                </a:ext>
              </a:extLst>
            </xdr:cNvPr>
            <xdr:cNvSpPr txBox="1"/>
          </xdr:nvSpPr>
          <xdr:spPr>
            <a:xfrm>
              <a:off x="4779471" y="869577"/>
              <a:ext cx="1686865" cy="30166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dk1"/>
                  </a:solidFill>
                  <a:latin typeface="+mn-lt"/>
                  <a:ea typeface="+mn-ea"/>
                  <a:cs typeface="+mn-cs"/>
                </a:rPr>
                <a:t>AVERAGE MARKS</a:t>
              </a:r>
              <a:endParaRPr lang="en-IN" sz="1600" b="1" baseline="0">
                <a:solidFill>
                  <a:schemeClr val="dk1"/>
                </a:solidFill>
                <a:latin typeface="+mn-lt"/>
                <a:ea typeface="+mn-ea"/>
                <a:cs typeface="+mn-cs"/>
              </a:endParaRPr>
            </a:p>
          </xdr:txBody>
        </xdr:sp>
        <xdr:sp macro="" textlink="'Student_Pivot '!#REF!">
          <xdr:nvSpPr>
            <xdr:cNvPr id="49" name="TextBox 48">
              <a:extLst>
                <a:ext uri="{FF2B5EF4-FFF2-40B4-BE49-F238E27FC236}">
                  <a16:creationId xmlns:a16="http://schemas.microsoft.com/office/drawing/2014/main" id="{03891473-E039-E11C-DA75-791E406CFE0C}"/>
                </a:ext>
              </a:extLst>
            </xdr:cNvPr>
            <xdr:cNvSpPr txBox="1"/>
          </xdr:nvSpPr>
          <xdr:spPr>
            <a:xfrm>
              <a:off x="5085484" y="1143694"/>
              <a:ext cx="1060262" cy="32272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59C763-11E2-4FDC-8B1C-BC9D1DA1F922}" type="TxLink">
                <a:rPr lang="en-US" sz="2400" b="1" i="0" u="none" strike="noStrike">
                  <a:solidFill>
                    <a:srgbClr val="000000"/>
                  </a:solidFill>
                  <a:latin typeface="Calibri"/>
                  <a:ea typeface="Calibri"/>
                  <a:cs typeface="Calibri"/>
                </a:rPr>
                <a:pPr marL="0" indent="0" algn="ctr"/>
                <a:t>67.41</a:t>
              </a:fld>
              <a:endParaRPr lang="en-IN" sz="2400" b="1" i="0" u="none" strike="noStrike">
                <a:solidFill>
                  <a:srgbClr val="000000"/>
                </a:solidFill>
                <a:latin typeface="Calibri"/>
                <a:ea typeface="Calibri"/>
                <a:cs typeface="Calibri"/>
              </a:endParaRPr>
            </a:p>
          </xdr:txBody>
        </xdr:sp>
      </xdr:grpSp>
      <xdr:pic>
        <xdr:nvPicPr>
          <xdr:cNvPr id="31" name="Graphic 30" descr="Graduation cap with solid fill">
            <a:extLst>
              <a:ext uri="{FF2B5EF4-FFF2-40B4-BE49-F238E27FC236}">
                <a16:creationId xmlns:a16="http://schemas.microsoft.com/office/drawing/2014/main" id="{2E26F785-9ABB-9651-6BEA-A6D8EC4F520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679577" y="779930"/>
            <a:ext cx="618564" cy="618564"/>
          </a:xfrm>
          <a:prstGeom prst="rect">
            <a:avLst/>
          </a:prstGeom>
        </xdr:spPr>
      </xdr:pic>
    </xdr:grpSp>
    <xdr:clientData/>
  </xdr:twoCellAnchor>
  <xdr:twoCellAnchor editAs="oneCell">
    <xdr:from>
      <xdr:col>3</xdr:col>
      <xdr:colOff>385485</xdr:colOff>
      <xdr:row>4</xdr:row>
      <xdr:rowOff>98613</xdr:rowOff>
    </xdr:from>
    <xdr:to>
      <xdr:col>4</xdr:col>
      <xdr:colOff>448237</xdr:colOff>
      <xdr:row>8</xdr:row>
      <xdr:rowOff>53788</xdr:rowOff>
    </xdr:to>
    <xdr:pic>
      <xdr:nvPicPr>
        <xdr:cNvPr id="36" name="Graphic 35" descr="Users with solid fill">
          <a:extLst>
            <a:ext uri="{FF2B5EF4-FFF2-40B4-BE49-F238E27FC236}">
              <a16:creationId xmlns:a16="http://schemas.microsoft.com/office/drawing/2014/main" id="{79D6B0E6-6CD0-1335-1C29-285EC5AEB28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214285" y="815789"/>
          <a:ext cx="672352" cy="672352"/>
        </a:xfrm>
        <a:prstGeom prst="rect">
          <a:avLst/>
        </a:prstGeom>
      </xdr:spPr>
    </xdr:pic>
    <xdr:clientData/>
  </xdr:twoCellAnchor>
  <xdr:twoCellAnchor>
    <xdr:from>
      <xdr:col>11</xdr:col>
      <xdr:colOff>497204</xdr:colOff>
      <xdr:row>4</xdr:row>
      <xdr:rowOff>97580</xdr:rowOff>
    </xdr:from>
    <xdr:to>
      <xdr:col>15</xdr:col>
      <xdr:colOff>325754</xdr:colOff>
      <xdr:row>9</xdr:row>
      <xdr:rowOff>561</xdr:rowOff>
    </xdr:to>
    <xdr:grpSp>
      <xdr:nvGrpSpPr>
        <xdr:cNvPr id="53" name="Group 52">
          <a:extLst>
            <a:ext uri="{FF2B5EF4-FFF2-40B4-BE49-F238E27FC236}">
              <a16:creationId xmlns:a16="http://schemas.microsoft.com/office/drawing/2014/main" id="{E37B545A-5534-E7FA-B237-1D1A79993A62}"/>
            </a:ext>
          </a:extLst>
        </xdr:cNvPr>
        <xdr:cNvGrpSpPr/>
      </xdr:nvGrpSpPr>
      <xdr:grpSpPr>
        <a:xfrm>
          <a:off x="7202804" y="837809"/>
          <a:ext cx="2266950" cy="828266"/>
          <a:chOff x="7202804" y="824803"/>
          <a:chExt cx="2266950" cy="811126"/>
        </a:xfrm>
      </xdr:grpSpPr>
      <xdr:grpSp>
        <xdr:nvGrpSpPr>
          <xdr:cNvPr id="58" name="Group 57">
            <a:extLst>
              <a:ext uri="{FF2B5EF4-FFF2-40B4-BE49-F238E27FC236}">
                <a16:creationId xmlns:a16="http://schemas.microsoft.com/office/drawing/2014/main" id="{50D79333-B7DA-088F-6356-8A793CE37653}"/>
              </a:ext>
            </a:extLst>
          </xdr:cNvPr>
          <xdr:cNvGrpSpPr/>
        </xdr:nvGrpSpPr>
        <xdr:grpSpPr>
          <a:xfrm>
            <a:off x="7202804" y="853405"/>
            <a:ext cx="2266950" cy="782524"/>
            <a:chOff x="6676688" y="813547"/>
            <a:chExt cx="2266950" cy="770457"/>
          </a:xfrm>
          <a:solidFill>
            <a:schemeClr val="accent5">
              <a:lumMod val="40000"/>
              <a:lumOff val="60000"/>
            </a:schemeClr>
          </a:solidFill>
          <a:effectLst>
            <a:outerShdw blurRad="50800" dist="38100" dir="2700000" algn="tl" rotWithShape="0">
              <a:prstClr val="black">
                <a:alpha val="40000"/>
              </a:prstClr>
            </a:outerShdw>
          </a:effectLst>
        </xdr:grpSpPr>
        <xdr:sp macro="" textlink="">
          <xdr:nvSpPr>
            <xdr:cNvPr id="13" name="Rectangle 12">
              <a:extLst>
                <a:ext uri="{FF2B5EF4-FFF2-40B4-BE49-F238E27FC236}">
                  <a16:creationId xmlns:a16="http://schemas.microsoft.com/office/drawing/2014/main" id="{8E153D5C-4D72-41D1-BC6C-AD4BA0400482}"/>
                </a:ext>
              </a:extLst>
            </xdr:cNvPr>
            <xdr:cNvSpPr/>
          </xdr:nvSpPr>
          <xdr:spPr>
            <a:xfrm>
              <a:off x="6676688" y="813547"/>
              <a:ext cx="2266950" cy="770457"/>
            </a:xfrm>
            <a:prstGeom prst="rect">
              <a:avLst/>
            </a:prstGeom>
            <a:grp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6" name="TextBox 5">
              <a:extLst>
                <a:ext uri="{FF2B5EF4-FFF2-40B4-BE49-F238E27FC236}">
                  <a16:creationId xmlns:a16="http://schemas.microsoft.com/office/drawing/2014/main" id="{BF96B745-180A-245B-AED0-E5D4F587B800}"/>
                </a:ext>
              </a:extLst>
            </xdr:cNvPr>
            <xdr:cNvSpPr txBox="1"/>
          </xdr:nvSpPr>
          <xdr:spPr>
            <a:xfrm>
              <a:off x="7239076" y="819696"/>
              <a:ext cx="1695332" cy="26046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latin typeface="+mn-lt"/>
                  <a:ea typeface="+mn-ea"/>
                  <a:cs typeface="+mn-cs"/>
                </a:rPr>
                <a:t>AVERAGE</a:t>
              </a:r>
              <a:r>
                <a:rPr lang="en-IN" sz="1000">
                  <a:solidFill>
                    <a:schemeClr val="tx1"/>
                  </a:solidFill>
                </a:rPr>
                <a:t> </a:t>
              </a:r>
              <a:r>
                <a:rPr lang="en-IN" sz="1200" b="1">
                  <a:solidFill>
                    <a:schemeClr val="tx1"/>
                  </a:solidFill>
                  <a:latin typeface="+mn-lt"/>
                  <a:ea typeface="+mn-ea"/>
                  <a:cs typeface="+mn-cs"/>
                </a:rPr>
                <a:t>ATTENDENCE</a:t>
              </a:r>
            </a:p>
          </xdr:txBody>
        </xdr:sp>
        <xdr:sp macro="" textlink="'Student_Pivot '!#REF!">
          <xdr:nvSpPr>
            <xdr:cNvPr id="8" name="TextBox 7">
              <a:extLst>
                <a:ext uri="{FF2B5EF4-FFF2-40B4-BE49-F238E27FC236}">
                  <a16:creationId xmlns:a16="http://schemas.microsoft.com/office/drawing/2014/main" id="{4F68415A-FD1D-A085-9AB0-4D0DD0B61A37}"/>
                </a:ext>
              </a:extLst>
            </xdr:cNvPr>
            <xdr:cNvSpPr txBox="1"/>
          </xdr:nvSpPr>
          <xdr:spPr>
            <a:xfrm>
              <a:off x="7484520" y="1076874"/>
              <a:ext cx="1126562" cy="32272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096ECE4-8A2C-44BB-B556-45E1B7A6BF9B}" type="TxLink">
                <a:rPr lang="en-US" sz="2400" b="1" i="0" u="none" strike="noStrike">
                  <a:solidFill>
                    <a:schemeClr val="tx1"/>
                  </a:solidFill>
                  <a:latin typeface="Calibri"/>
                  <a:ea typeface="Calibri"/>
                  <a:cs typeface="Calibri"/>
                </a:rPr>
                <a:pPr marL="0" indent="0" algn="ctr"/>
                <a:t>79.99%</a:t>
              </a:fld>
              <a:endParaRPr lang="en-IN" sz="2400" b="1" i="0" u="none" strike="noStrike">
                <a:solidFill>
                  <a:schemeClr val="tx1"/>
                </a:solidFill>
                <a:latin typeface="Calibri"/>
                <a:ea typeface="Calibri"/>
                <a:cs typeface="Calibri"/>
              </a:endParaRPr>
            </a:p>
          </xdr:txBody>
        </xdr:sp>
      </xdr:grpSp>
      <xdr:pic>
        <xdr:nvPicPr>
          <xdr:cNvPr id="44" name="Graphic 43" descr="Daily calendar with solid fill">
            <a:extLst>
              <a:ext uri="{FF2B5EF4-FFF2-40B4-BE49-F238E27FC236}">
                <a16:creationId xmlns:a16="http://schemas.microsoft.com/office/drawing/2014/main" id="{BE5FC111-959B-F5DE-C8B0-D2DA04EC963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209349" y="824803"/>
            <a:ext cx="535326" cy="544777"/>
          </a:xfrm>
          <a:prstGeom prst="rect">
            <a:avLst/>
          </a:prstGeom>
        </xdr:spPr>
      </xdr:pic>
    </xdr:grpSp>
    <xdr:clientData/>
  </xdr:twoCellAnchor>
  <xdr:twoCellAnchor>
    <xdr:from>
      <xdr:col>16</xdr:col>
      <xdr:colOff>0</xdr:colOff>
      <xdr:row>5</xdr:row>
      <xdr:rowOff>15240</xdr:rowOff>
    </xdr:from>
    <xdr:to>
      <xdr:col>16</xdr:col>
      <xdr:colOff>463825</xdr:colOff>
      <xdr:row>7</xdr:row>
      <xdr:rowOff>98729</xdr:rowOff>
    </xdr:to>
    <xdr:grpSp>
      <xdr:nvGrpSpPr>
        <xdr:cNvPr id="67" name="Group 66">
          <a:extLst>
            <a:ext uri="{FF2B5EF4-FFF2-40B4-BE49-F238E27FC236}">
              <a16:creationId xmlns:a16="http://schemas.microsoft.com/office/drawing/2014/main" id="{8AD12D38-C227-1D0A-2C7B-C746A261AE08}"/>
            </a:ext>
          </a:extLst>
        </xdr:cNvPr>
        <xdr:cNvGrpSpPr/>
      </xdr:nvGrpSpPr>
      <xdr:grpSpPr>
        <a:xfrm>
          <a:off x="9753600" y="940526"/>
          <a:ext cx="463825" cy="453603"/>
          <a:chOff x="9733723" y="901148"/>
          <a:chExt cx="463825" cy="457200"/>
        </a:xfrm>
        <a:solidFill>
          <a:schemeClr val="bg2">
            <a:lumMod val="25000"/>
          </a:schemeClr>
        </a:solidFill>
      </xdr:grpSpPr>
      <xdr:sp macro="" textlink="">
        <xdr:nvSpPr>
          <xdr:cNvPr id="66" name="Oval 65">
            <a:extLst>
              <a:ext uri="{FF2B5EF4-FFF2-40B4-BE49-F238E27FC236}">
                <a16:creationId xmlns:a16="http://schemas.microsoft.com/office/drawing/2014/main" id="{D5CE6FE4-CD0B-ADE6-4D37-CE582D2D2368}"/>
              </a:ext>
            </a:extLst>
          </xdr:cNvPr>
          <xdr:cNvSpPr/>
        </xdr:nvSpPr>
        <xdr:spPr>
          <a:xfrm>
            <a:off x="9733723" y="901148"/>
            <a:ext cx="463825" cy="457200"/>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65" name="Graphic 64" descr="Checkmark with solid fill">
            <a:extLst>
              <a:ext uri="{FF2B5EF4-FFF2-40B4-BE49-F238E27FC236}">
                <a16:creationId xmlns:a16="http://schemas.microsoft.com/office/drawing/2014/main" id="{442F1CFD-2A57-E4CE-5AA8-8C703427A36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786317" y="945046"/>
            <a:ext cx="352916" cy="360293"/>
          </a:xfrm>
          <a:prstGeom prst="rect">
            <a:avLst/>
          </a:prstGeom>
        </xdr:spPr>
      </xdr:pic>
    </xdr:grpSp>
    <xdr:clientData/>
  </xdr:twoCellAnchor>
  <xdr:twoCellAnchor>
    <xdr:from>
      <xdr:col>20</xdr:col>
      <xdr:colOff>106903</xdr:colOff>
      <xdr:row>4</xdr:row>
      <xdr:rowOff>114860</xdr:rowOff>
    </xdr:from>
    <xdr:to>
      <xdr:col>23</xdr:col>
      <xdr:colOff>526003</xdr:colOff>
      <xdr:row>9</xdr:row>
      <xdr:rowOff>560</xdr:rowOff>
    </xdr:to>
    <xdr:grpSp>
      <xdr:nvGrpSpPr>
        <xdr:cNvPr id="70" name="Group 69">
          <a:extLst>
            <a:ext uri="{FF2B5EF4-FFF2-40B4-BE49-F238E27FC236}">
              <a16:creationId xmlns:a16="http://schemas.microsoft.com/office/drawing/2014/main" id="{737F2A89-2A6E-916B-53B7-8B2B1FB81658}"/>
            </a:ext>
          </a:extLst>
        </xdr:cNvPr>
        <xdr:cNvGrpSpPr/>
      </xdr:nvGrpSpPr>
      <xdr:grpSpPr>
        <a:xfrm>
          <a:off x="12298903" y="855089"/>
          <a:ext cx="2247900" cy="810985"/>
          <a:chOff x="12298903" y="846380"/>
          <a:chExt cx="2247900" cy="800100"/>
        </a:xfrm>
      </xdr:grpSpPr>
      <xdr:grpSp>
        <xdr:nvGrpSpPr>
          <xdr:cNvPr id="62" name="Group 61">
            <a:extLst>
              <a:ext uri="{FF2B5EF4-FFF2-40B4-BE49-F238E27FC236}">
                <a16:creationId xmlns:a16="http://schemas.microsoft.com/office/drawing/2014/main" id="{2DBC8303-512D-A54D-6C96-432EC29F0819}"/>
              </a:ext>
            </a:extLst>
          </xdr:cNvPr>
          <xdr:cNvGrpSpPr/>
        </xdr:nvGrpSpPr>
        <xdr:grpSpPr>
          <a:xfrm>
            <a:off x="12298903" y="846380"/>
            <a:ext cx="2247900" cy="800100"/>
            <a:chOff x="11722586" y="829840"/>
            <a:chExt cx="2247900" cy="776575"/>
          </a:xfrm>
          <a:solidFill>
            <a:schemeClr val="accent3">
              <a:lumMod val="40000"/>
              <a:lumOff val="60000"/>
            </a:schemeClr>
          </a:solidFill>
          <a:effectLst>
            <a:outerShdw blurRad="50800" dist="38100" dir="2700000" algn="tl" rotWithShape="0">
              <a:prstClr val="black">
                <a:alpha val="40000"/>
              </a:prstClr>
            </a:outerShdw>
          </a:effectLst>
        </xdr:grpSpPr>
        <xdr:grpSp>
          <xdr:nvGrpSpPr>
            <xdr:cNvPr id="29" name="Group 28">
              <a:extLst>
                <a:ext uri="{FF2B5EF4-FFF2-40B4-BE49-F238E27FC236}">
                  <a16:creationId xmlns:a16="http://schemas.microsoft.com/office/drawing/2014/main" id="{CE171D1B-CC99-F0B0-34D0-484E4B8C4E8A}"/>
                </a:ext>
              </a:extLst>
            </xdr:cNvPr>
            <xdr:cNvGrpSpPr/>
          </xdr:nvGrpSpPr>
          <xdr:grpSpPr>
            <a:xfrm>
              <a:off x="11722586" y="829840"/>
              <a:ext cx="2247900" cy="776575"/>
              <a:chOff x="11614784" y="831476"/>
              <a:chExt cx="2247900" cy="770457"/>
            </a:xfrm>
            <a:grpFill/>
            <a:effectLst/>
          </xdr:grpSpPr>
          <xdr:sp macro="" textlink="">
            <xdr:nvSpPr>
              <xdr:cNvPr id="15" name="Rectangle 14">
                <a:extLst>
                  <a:ext uri="{FF2B5EF4-FFF2-40B4-BE49-F238E27FC236}">
                    <a16:creationId xmlns:a16="http://schemas.microsoft.com/office/drawing/2014/main" id="{934625E8-5BB2-4D86-A764-C992583A2E96}"/>
                  </a:ext>
                </a:extLst>
              </xdr:cNvPr>
              <xdr:cNvSpPr/>
            </xdr:nvSpPr>
            <xdr:spPr>
              <a:xfrm>
                <a:off x="11614784" y="831476"/>
                <a:ext cx="2247900" cy="770457"/>
              </a:xfrm>
              <a:prstGeom prst="rect">
                <a:avLst/>
              </a:prstGeom>
              <a:grp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28BF12A1-1C9C-DB9E-A1B6-88B7E3530D6B}"/>
                  </a:ext>
                </a:extLst>
              </xdr:cNvPr>
              <xdr:cNvSpPr txBox="1"/>
            </xdr:nvSpPr>
            <xdr:spPr>
              <a:xfrm>
                <a:off x="11945134" y="881691"/>
                <a:ext cx="1895146" cy="31121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dk1"/>
                    </a:solidFill>
                    <a:latin typeface="+mn-lt"/>
                    <a:ea typeface="+mn-ea"/>
                    <a:cs typeface="+mn-cs"/>
                  </a:rPr>
                  <a:t>HIGHEST</a:t>
                </a:r>
                <a:r>
                  <a:rPr lang="en-IN" sz="1050"/>
                  <a:t> </a:t>
                </a:r>
                <a:r>
                  <a:rPr lang="en-IN" sz="1400" b="1">
                    <a:solidFill>
                      <a:schemeClr val="dk1"/>
                    </a:solidFill>
                    <a:latin typeface="+mn-lt"/>
                    <a:ea typeface="+mn-ea"/>
                    <a:cs typeface="+mn-cs"/>
                  </a:rPr>
                  <a:t>AVG</a:t>
                </a:r>
                <a:r>
                  <a:rPr lang="en-IN" sz="1050" baseline="0"/>
                  <a:t> </a:t>
                </a:r>
                <a:r>
                  <a:rPr lang="en-IN" sz="1400" b="1">
                    <a:solidFill>
                      <a:schemeClr val="dk1"/>
                    </a:solidFill>
                    <a:latin typeface="+mn-lt"/>
                    <a:ea typeface="+mn-ea"/>
                    <a:cs typeface="+mn-cs"/>
                  </a:rPr>
                  <a:t>MARKS</a:t>
                </a:r>
              </a:p>
            </xdr:txBody>
          </xdr:sp>
        </xdr:grpSp>
        <xdr:sp macro="" textlink="'Student_Pivot '!#REF!">
          <xdr:nvSpPr>
            <xdr:cNvPr id="34" name="TextBox 33">
              <a:extLst>
                <a:ext uri="{FF2B5EF4-FFF2-40B4-BE49-F238E27FC236}">
                  <a16:creationId xmlns:a16="http://schemas.microsoft.com/office/drawing/2014/main" id="{F7CB1B39-7E18-0B92-AFBE-731EBEE8B438}"/>
                </a:ext>
              </a:extLst>
            </xdr:cNvPr>
            <xdr:cNvSpPr txBox="1"/>
          </xdr:nvSpPr>
          <xdr:spPr>
            <a:xfrm>
              <a:off x="12225283" y="1072554"/>
              <a:ext cx="1219200" cy="355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8EB2D84-9AFB-47D5-AC49-A31FB1970344}" type="TxLink">
                <a:rPr lang="en-US" sz="2400" b="1" i="0" u="none" strike="noStrike">
                  <a:solidFill>
                    <a:srgbClr val="000000"/>
                  </a:solidFill>
                  <a:latin typeface="Calibri"/>
                  <a:ea typeface="Calibri"/>
                  <a:cs typeface="Calibri"/>
                </a:rPr>
                <a:pPr marL="0" indent="0" algn="ctr"/>
                <a:t>89.8</a:t>
              </a:fld>
              <a:endParaRPr lang="en-IN" sz="2400" b="1" i="0" u="none" strike="noStrike">
                <a:solidFill>
                  <a:srgbClr val="000000"/>
                </a:solidFill>
                <a:latin typeface="Calibri"/>
                <a:ea typeface="Calibri"/>
                <a:cs typeface="Calibri"/>
              </a:endParaRPr>
            </a:p>
          </xdr:txBody>
        </xdr:sp>
      </xdr:grpSp>
      <xdr:pic>
        <xdr:nvPicPr>
          <xdr:cNvPr id="69" name="Graphic 68" descr="Stars with solid fill">
            <a:extLst>
              <a:ext uri="{FF2B5EF4-FFF2-40B4-BE49-F238E27FC236}">
                <a16:creationId xmlns:a16="http://schemas.microsoft.com/office/drawing/2014/main" id="{6F73F4B1-487C-9609-04E1-4BBCCB9D719F}"/>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2334928" y="914400"/>
            <a:ext cx="466672" cy="478715"/>
          </a:xfrm>
          <a:prstGeom prst="rect">
            <a:avLst/>
          </a:prstGeom>
        </xdr:spPr>
      </xdr:pic>
    </xdr:grpSp>
    <xdr:clientData/>
  </xdr:twoCellAnchor>
  <xdr:twoCellAnchor editAs="oneCell">
    <xdr:from>
      <xdr:col>24</xdr:col>
      <xdr:colOff>167640</xdr:colOff>
      <xdr:row>4</xdr:row>
      <xdr:rowOff>148244</xdr:rowOff>
    </xdr:from>
    <xdr:to>
      <xdr:col>25</xdr:col>
      <xdr:colOff>0</xdr:colOff>
      <xdr:row>7</xdr:row>
      <xdr:rowOff>41564</xdr:rowOff>
    </xdr:to>
    <xdr:pic>
      <xdr:nvPicPr>
        <xdr:cNvPr id="72" name="Graphic 71" descr="Warning with solid fill">
          <a:extLst>
            <a:ext uri="{FF2B5EF4-FFF2-40B4-BE49-F238E27FC236}">
              <a16:creationId xmlns:a16="http://schemas.microsoft.com/office/drawing/2014/main" id="{2790A9D3-2DDA-4C8F-FA09-5A2C3C0DFDF2}"/>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4798040" y="868680"/>
          <a:ext cx="441960" cy="433648"/>
        </a:xfrm>
        <a:prstGeom prst="rect">
          <a:avLst/>
        </a:prstGeom>
      </xdr:spPr>
    </xdr:pic>
    <xdr:clientData/>
  </xdr:twoCellAnchor>
  <xdr:twoCellAnchor editAs="oneCell">
    <xdr:from>
      <xdr:col>26</xdr:col>
      <xdr:colOff>178741</xdr:colOff>
      <xdr:row>0</xdr:row>
      <xdr:rowOff>94074</xdr:rowOff>
    </xdr:from>
    <xdr:to>
      <xdr:col>27</xdr:col>
      <xdr:colOff>159925</xdr:colOff>
      <xdr:row>3</xdr:row>
      <xdr:rowOff>150517</xdr:rowOff>
    </xdr:to>
    <xdr:pic>
      <xdr:nvPicPr>
        <xdr:cNvPr id="16" name="Graphic 15" descr="Classroom with solid fill">
          <a:extLst>
            <a:ext uri="{FF2B5EF4-FFF2-40B4-BE49-F238E27FC236}">
              <a16:creationId xmlns:a16="http://schemas.microsoft.com/office/drawing/2014/main" id="{DC06BC03-87FA-A64D-3E45-D9A3835C866D}"/>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6077260" y="94074"/>
          <a:ext cx="592665" cy="59266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jal Aling" refreshedDate="46308.527774421294" createdVersion="8" refreshedVersion="8" minRefreshableVersion="3" recordCount="120" xr:uid="{CA28FCA4-1FE0-4E30-B9A7-86DBA11E77CA}">
  <cacheSource type="worksheet">
    <worksheetSource name="Table1"/>
  </cacheSource>
  <cacheFields count="23">
    <cacheField name="Student_ID" numFmtId="0">
      <sharedItems containsSemiMixedTypes="0" containsString="0" containsNumber="1" containsInteger="1" minValue="1001" maxValue="1120" count="12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sharedItems>
    </cacheField>
    <cacheField name="Student_Name" numFmtId="0">
      <sharedItems count="120">
        <s v="Aarav Sharma"/>
        <s v="Aditi Patel"/>
        <s v="Akash Mehta"/>
        <s v="Ananya Desai"/>
        <s v="Arjun Joshi"/>
        <s v="Diya Shah"/>
        <s v="Ishaan Kulkarni"/>
        <s v="Kavya Nair"/>
        <s v="Krish Gupta"/>
        <s v="Meera Rao"/>
        <s v="Neha Iyer"/>
        <s v="Om Singh"/>
        <s v="Priya More"/>
        <s v="Rahul Verma"/>
        <s v="Riya Khan"/>
        <s v="Saanvi Pawar"/>
        <s v="Tara Bhat"/>
        <s v="Vivaan Menon"/>
        <s v="Yash Sawant"/>
        <s v="Zoya Thakur"/>
        <s v="Aarav Patel"/>
        <s v="Aditi Mehta"/>
        <s v="Akash Desai"/>
        <s v="Ananya Joshi"/>
        <s v="Arjun Shah"/>
        <s v="Diya Kulkarni"/>
        <s v="Ishaan Nair"/>
        <s v="Kavya Gupta"/>
        <s v="Krish Rao"/>
        <s v="Meera Iyer"/>
        <s v="Neha Singh"/>
        <s v="Om More"/>
        <s v="Priya Verma"/>
        <s v="Rahul Khan"/>
        <s v="Riya Pawar"/>
        <s v="Saanvi Bhat"/>
        <s v="Tara Menon"/>
        <s v="Vivaan Sawant"/>
        <s v="Yash Thakur"/>
        <s v="Zoya Sharma"/>
        <s v="Aarav Mehta"/>
        <s v="Aditi Desai"/>
        <s v="Akash Joshi"/>
        <s v="Ananya Shah"/>
        <s v="Arjun Kulkarni"/>
        <s v="Diya Nair"/>
        <s v="Ishaan Gupta"/>
        <s v="Kavya Rao"/>
        <s v="Krish Iyer"/>
        <s v="Meera Singh"/>
        <s v="Neha More"/>
        <s v="Om Verma"/>
        <s v="Priya Khan"/>
        <s v="Rahul Pawar"/>
        <s v="Riya Bhat"/>
        <s v="Saanvi Menon"/>
        <s v="Tara Sawant"/>
        <s v="Vivaan Thakur"/>
        <s v="Yash Sharma"/>
        <s v="Zoya Patel"/>
        <s v="Aarav Desai"/>
        <s v="Aditi Joshi"/>
        <s v="Akash Shah"/>
        <s v="Ananya Kulkarni"/>
        <s v="Arjun Nair"/>
        <s v="Diya Gupta"/>
        <s v="Ishaan Rao"/>
        <s v="Kavya Iyer"/>
        <s v="Krish Singh"/>
        <s v="Meera More"/>
        <s v="Neha Verma"/>
        <s v="Om Khan"/>
        <s v="Priya Pawar"/>
        <s v="Rahul Bhat"/>
        <s v="Riya Menon"/>
        <s v="Saanvi Sawant"/>
        <s v="Tara Thakur"/>
        <s v="Vivaan Sharma"/>
        <s v="Yash Patel"/>
        <s v="Zoya Mehta"/>
        <s v="Aarav Joshi"/>
        <s v="Aditi Shah"/>
        <s v="Akash Kulkarni"/>
        <s v="Ananya Nair"/>
        <s v="Arjun Gupta"/>
        <s v="Diya Rao"/>
        <s v="Ishaan Iyer"/>
        <s v="Kavya Singh"/>
        <s v="Krish More"/>
        <s v="Meera Verma"/>
        <s v="Neha Khan"/>
        <s v="Om Pawar"/>
        <s v="Priya Bhat"/>
        <s v="Rahul Menon"/>
        <s v="Riya Sawant"/>
        <s v="Saanvi Thakur"/>
        <s v="Tara Sharma"/>
        <s v="Vivaan Patel"/>
        <s v="Yash Mehta"/>
        <s v="Zoya Desai"/>
        <s v="Aarav Shah"/>
        <s v="Aditi Kulkarni"/>
        <s v="Akash Nair"/>
        <s v="Ananya Gupta"/>
        <s v="Arjun Rao"/>
        <s v="Diya Iyer"/>
        <s v="Ishaan Singh"/>
        <s v="Kavya More"/>
        <s v="Krish Verma"/>
        <s v="Meera Khan"/>
        <s v="Neha Pawar"/>
        <s v="Om Bhat"/>
        <s v="Priya Menon"/>
        <s v="Rahul Sawant"/>
        <s v="Riya Thakur"/>
        <s v="Saanvi Sharma"/>
        <s v="Tara Patel"/>
        <s v="Vivaan Mehta"/>
        <s v="Yash Desai"/>
        <s v="Zoya Joshi"/>
      </sharedItems>
    </cacheField>
    <cacheField name="Age" numFmtId="0">
      <sharedItems containsSemiMixedTypes="0" containsString="0" containsNumber="1" containsInteger="1" minValue="18" maxValue="25"/>
    </cacheField>
    <cacheField name="Gender" numFmtId="0">
      <sharedItems/>
    </cacheField>
    <cacheField name="Course" numFmtId="0">
      <sharedItems count="6">
        <s v="BMS"/>
        <s v="BSc IT"/>
        <s v="BA"/>
        <s v="BCA"/>
        <s v="BCom"/>
        <s v="BSc Computer Science"/>
      </sharedItems>
    </cacheField>
    <cacheField name="Department" numFmtId="0">
      <sharedItems count="5">
        <s v="Commerce"/>
        <s v="Arts"/>
        <s v="Computer Science"/>
        <s v="Management"/>
        <s v="IT"/>
      </sharedItems>
    </cacheField>
    <cacheField name="Semester" numFmtId="0">
      <sharedItems containsSemiMixedTypes="0" containsString="0" containsNumber="1" containsInteger="1" minValue="1" maxValue="6" count="6">
        <n v="2"/>
        <n v="3"/>
        <n v="4"/>
        <n v="5"/>
        <n v="6"/>
        <n v="1"/>
      </sharedItems>
    </cacheField>
    <cacheField name="City" numFmtId="0">
      <sharedItems count="8">
        <s v="Pune"/>
        <s v="Dombivli"/>
        <s v="Thane"/>
        <s v="Vasai"/>
        <s v="Panvel"/>
        <s v="Navi Mumbai"/>
        <s v="Kalyan"/>
        <s v="Mumbai"/>
      </sharedItems>
    </cacheField>
    <cacheField name="Attendance_Percent" numFmtId="0">
      <sharedItems containsSemiMixedTypes="0" containsString="0" containsNumber="1" containsInteger="1" minValue="60" maxValue="100" count="41">
        <n v="67"/>
        <n v="74"/>
        <n v="81"/>
        <n v="88"/>
        <n v="95"/>
        <n v="61"/>
        <n v="68"/>
        <n v="75"/>
        <n v="82"/>
        <n v="89"/>
        <n v="96"/>
        <n v="62"/>
        <n v="69"/>
        <n v="76"/>
        <n v="83"/>
        <n v="90"/>
        <n v="97"/>
        <n v="63"/>
        <n v="70"/>
        <n v="77"/>
        <n v="84"/>
        <n v="91"/>
        <n v="98"/>
        <n v="64"/>
        <n v="71"/>
        <n v="78"/>
        <n v="85"/>
        <n v="92"/>
        <n v="99"/>
        <n v="65"/>
        <n v="72"/>
        <n v="79"/>
        <n v="86"/>
        <n v="93"/>
        <n v="100"/>
        <n v="66"/>
        <n v="73"/>
        <n v="80"/>
        <n v="87"/>
        <n v="94"/>
        <n v="60"/>
      </sharedItems>
    </cacheField>
    <cacheField name="Maths_Marks" numFmtId="0">
      <sharedItems containsSemiMixedTypes="0" containsString="0" containsNumber="1" containsInteger="1" minValue="35" maxValue="90"/>
    </cacheField>
    <cacheField name="SQL_Marks" numFmtId="0">
      <sharedItems containsSemiMixedTypes="0" containsString="0" containsNumber="1" containsInteger="1" minValue="30" maxValue="100"/>
    </cacheField>
    <cacheField name="Python_Marks" numFmtId="0">
      <sharedItems containsSemiMixedTypes="0" containsString="0" containsNumber="1" containsInteger="1" minValue="32" maxValue="100"/>
    </cacheField>
    <cacheField name="Excel_Marks" numFmtId="0">
      <sharedItems containsSemiMixedTypes="0" containsString="0" containsNumber="1" containsInteger="1" minValue="40" maxValue="100"/>
    </cacheField>
    <cacheField name="Communication_Marks" numFmtId="0">
      <sharedItems containsSemiMixedTypes="0" containsString="0" containsNumber="1" containsInteger="1" minValue="45" maxValue="100"/>
    </cacheField>
    <cacheField name="Average_Marks" numFmtId="0">
      <sharedItems containsSemiMixedTypes="0" containsString="0" containsNumber="1" minValue="48.4" maxValue="89.8" count="75">
        <n v="50.2"/>
        <n v="64"/>
        <n v="77.8"/>
        <n v="79.400000000000006"/>
        <n v="65.8"/>
        <n v="56.2"/>
        <n v="70"/>
        <n v="71.599999999999994"/>
        <n v="71.2"/>
        <n v="71.8"/>
        <n v="48.4"/>
        <n v="62.2"/>
        <n v="76"/>
        <n v="89.8"/>
        <n v="63.4"/>
        <n v="66.599999999999994"/>
        <n v="68.2"/>
        <n v="67.8"/>
        <n v="69.400000000000006"/>
        <n v="58.8"/>
        <n v="60.4"/>
        <n v="74.2"/>
        <n v="73.8"/>
        <n v="61.6"/>
        <n v="78.599999999999994"/>
        <n v="52.2"/>
        <n v="66"/>
        <n v="79.8"/>
        <n v="70.8"/>
        <n v="58.2"/>
        <n v="72"/>
        <n v="62.6"/>
        <n v="50.4"/>
        <n v="64.2"/>
        <n v="78"/>
        <n v="66.400000000000006"/>
        <n v="54.8"/>
        <n v="68.599999999999994"/>
        <n v="70.2"/>
        <n v="60.8"/>
        <n v="62.4"/>
        <n v="76.2"/>
        <n v="76.8"/>
        <n v="66.8"/>
        <n v="80.599999999999994"/>
        <n v="68.400000000000006"/>
        <n v="59"/>
        <n v="72.8"/>
        <n v="60.2"/>
        <n v="74.599999999999994"/>
        <n v="65"/>
        <n v="78.8"/>
        <n v="78.400000000000006"/>
        <n v="53"/>
        <n v="71"/>
        <n v="56.8"/>
        <n v="70.599999999999994"/>
        <n v="74.400000000000006"/>
        <n v="62.8"/>
        <n v="76.599999999999994"/>
        <n v="51.2"/>
        <n v="55"/>
        <n v="68.8"/>
        <n v="61"/>
        <n v="74.8"/>
        <n v="63.2"/>
        <n v="53.2"/>
        <n v="67"/>
        <n v="67.599999999999994"/>
        <n v="81.400000000000006"/>
        <n v="71.400000000000006"/>
        <n v="73"/>
        <n v="59.8"/>
        <n v="59.4"/>
        <n v="65.2"/>
      </sharedItems>
    </cacheField>
    <cacheField name="Result_Status" numFmtId="0">
      <sharedItems count="2">
        <s v="Pass"/>
        <s v="Needs Improvement"/>
      </sharedItems>
    </cacheField>
    <cacheField name="Email" numFmtId="0">
      <sharedItems/>
    </cacheField>
    <cacheField name="Roll_Number" numFmtId="0">
      <sharedItems count="120">
        <s v="STU0001"/>
        <s v="STU0002"/>
        <s v="STU0003"/>
        <s v="STU0004"/>
        <s v="STU0005"/>
        <s v="STU0006"/>
        <s v="STU0007"/>
        <s v="STU0008"/>
        <s v="STU0009"/>
        <s v="STU0010"/>
        <s v="STU0011"/>
        <s v="STU0012"/>
        <s v="STU0013"/>
        <s v="STU0014"/>
        <s v="STU0015"/>
        <s v="STU0016"/>
        <s v="STU0017"/>
        <s v="STU0018"/>
        <s v="STU0019"/>
        <s v="STU0020"/>
        <s v="STU0021"/>
        <s v="STU0022"/>
        <s v="STU0023"/>
        <s v="STU0024"/>
        <s v="STU0025"/>
        <s v="STU0026"/>
        <s v="STU0027"/>
        <s v="STU0028"/>
        <s v="STU0029"/>
        <s v="STU0030"/>
        <s v="STU0031"/>
        <s v="STU0032"/>
        <s v="STU0033"/>
        <s v="STU0034"/>
        <s v="STU0035"/>
        <s v="STU0036"/>
        <s v="STU0037"/>
        <s v="STU0038"/>
        <s v="STU0039"/>
        <s v="STU0040"/>
        <s v="STU0041"/>
        <s v="STU0042"/>
        <s v="STU0043"/>
        <s v="STU0044"/>
        <s v="STU0045"/>
        <s v="STU0046"/>
        <s v="STU0047"/>
        <s v="STU0048"/>
        <s v="STU0049"/>
        <s v="STU0050"/>
        <s v="STU0051"/>
        <s v="STU0052"/>
        <s v="STU0053"/>
        <s v="STU0054"/>
        <s v="STU0055"/>
        <s v="STU0056"/>
        <s v="STU0057"/>
        <s v="STU0058"/>
        <s v="STU0059"/>
        <s v="STU0060"/>
        <s v="STU0061"/>
        <s v="STU0062"/>
        <s v="STU0063"/>
        <s v="STU0064"/>
        <s v="STU0065"/>
        <s v="STU0066"/>
        <s v="STU0067"/>
        <s v="STU0068"/>
        <s v="STU0069"/>
        <s v="STU0070"/>
        <s v="STU0071"/>
        <s v="STU0072"/>
        <s v="STU0073"/>
        <s v="STU0074"/>
        <s v="STU0075"/>
        <s v="STU0076"/>
        <s v="STU0077"/>
        <s v="STU0078"/>
        <s v="STU0079"/>
        <s v="STU0080"/>
        <s v="STU0081"/>
        <s v="STU0082"/>
        <s v="STU0083"/>
        <s v="STU0084"/>
        <s v="STU0085"/>
        <s v="STU0086"/>
        <s v="STU0087"/>
        <s v="STU0088"/>
        <s v="STU0089"/>
        <s v="STU0090"/>
        <s v="STU0091"/>
        <s v="STU0092"/>
        <s v="STU0093"/>
        <s v="STU0094"/>
        <s v="STU0095"/>
        <s v="STU0096"/>
        <s v="STU0097"/>
        <s v="STU0098"/>
        <s v="STU0099"/>
        <s v="STU0100"/>
        <s v="STU0101"/>
        <s v="STU0102"/>
        <s v="STU0103"/>
        <s v="STU0104"/>
        <s v="STU0105"/>
        <s v="STU0106"/>
        <s v="STU0107"/>
        <s v="STU0108"/>
        <s v="STU0109"/>
        <s v="STU0110"/>
        <s v="STU0111"/>
        <s v="STU0112"/>
        <s v="STU0113"/>
        <s v="STU0114"/>
        <s v="STU0115"/>
        <s v="STU0116"/>
        <s v="STU0117"/>
        <s v="STU0118"/>
        <s v="STU0119"/>
        <s v="STU0120"/>
      </sharedItems>
    </cacheField>
    <cacheField name="Annual_Fee_INR" numFmtId="165">
      <sharedItems containsSemiMixedTypes="0" containsString="0" containsNumber="1" containsInteger="1" minValue="15000" maxValue="27500"/>
    </cacheField>
    <cacheField name="Admission_Date" numFmtId="164">
      <sharedItems containsSemiMixedTypes="0" containsNonDate="0" containsDate="1" containsString="0" minDate="2022-06-04T00:00:00" maxDate="2026-03-13T00:00:00" count="120">
        <d v="2022-06-24T00:00:00"/>
        <d v="2022-07-17T00:00:00"/>
        <d v="2022-08-09T00:00:00"/>
        <d v="2022-09-01T00:00:00"/>
        <d v="2022-09-24T00:00:00"/>
        <d v="2022-10-17T00:00:00"/>
        <d v="2022-11-09T00:00:00"/>
        <d v="2022-12-02T00:00:00"/>
        <d v="2022-12-25T00:00:00"/>
        <d v="2023-01-17T00:00:00"/>
        <d v="2023-02-09T00:00:00"/>
        <d v="2023-03-04T00:00:00"/>
        <d v="2023-03-27T00:00:00"/>
        <d v="2023-04-19T00:00:00"/>
        <d v="2023-05-12T00:00:00"/>
        <d v="2023-06-04T00:00:00"/>
        <d v="2023-06-27T00:00:00"/>
        <d v="2023-07-20T00:00:00"/>
        <d v="2023-08-12T00:00:00"/>
        <d v="2023-09-04T00:00:00"/>
        <d v="2023-09-27T00:00:00"/>
        <d v="2023-10-20T00:00:00"/>
        <d v="2023-11-12T00:00:00"/>
        <d v="2023-12-05T00:00:00"/>
        <d v="2023-12-28T00:00:00"/>
        <d v="2024-01-20T00:00:00"/>
        <d v="2024-02-12T00:00:00"/>
        <d v="2024-03-06T00:00:00"/>
        <d v="2024-03-29T00:00:00"/>
        <d v="2024-04-21T00:00:00"/>
        <d v="2024-05-14T00:00:00"/>
        <d v="2024-06-06T00:00:00"/>
        <d v="2024-06-29T00:00:00"/>
        <d v="2024-07-22T00:00:00"/>
        <d v="2024-08-14T00:00:00"/>
        <d v="2024-09-06T00:00:00"/>
        <d v="2024-09-29T00:00:00"/>
        <d v="2024-10-22T00:00:00"/>
        <d v="2024-11-14T00:00:00"/>
        <d v="2024-12-07T00:00:00"/>
        <d v="2024-12-30T00:00:00"/>
        <d v="2025-01-22T00:00:00"/>
        <d v="2025-02-14T00:00:00"/>
        <d v="2025-03-09T00:00:00"/>
        <d v="2025-04-01T00:00:00"/>
        <d v="2025-04-24T00:00:00"/>
        <d v="2025-05-17T00:00:00"/>
        <d v="2025-06-09T00:00:00"/>
        <d v="2025-07-02T00:00:00"/>
        <d v="2025-07-25T00:00:00"/>
        <d v="2025-08-17T00:00:00"/>
        <d v="2025-09-09T00:00:00"/>
        <d v="2025-10-02T00:00:00"/>
        <d v="2025-10-25T00:00:00"/>
        <d v="2025-11-17T00:00:00"/>
        <d v="2025-12-10T00:00:00"/>
        <d v="2026-01-02T00:00:00"/>
        <d v="2026-01-25T00:00:00"/>
        <d v="2026-02-17T00:00:00"/>
        <d v="2026-03-12T00:00:00"/>
        <d v="2022-06-04T00:00:00"/>
        <d v="2022-06-27T00:00:00"/>
        <d v="2022-07-20T00:00:00"/>
        <d v="2022-08-12T00:00:00"/>
        <d v="2022-09-04T00:00:00"/>
        <d v="2022-09-27T00:00:00"/>
        <d v="2022-10-20T00:00:00"/>
        <d v="2022-11-12T00:00:00"/>
        <d v="2022-12-05T00:00:00"/>
        <d v="2022-12-28T00:00:00"/>
        <d v="2023-01-20T00:00:00"/>
        <d v="2023-02-12T00:00:00"/>
        <d v="2023-03-07T00:00:00"/>
        <d v="2023-03-30T00:00:00"/>
        <d v="2023-04-22T00:00:00"/>
        <d v="2023-05-15T00:00:00"/>
        <d v="2023-06-07T00:00:00"/>
        <d v="2023-06-30T00:00:00"/>
        <d v="2023-07-23T00:00:00"/>
        <d v="2023-08-15T00:00:00"/>
        <d v="2023-09-07T00:00:00"/>
        <d v="2023-09-30T00:00:00"/>
        <d v="2023-10-23T00:00:00"/>
        <d v="2023-11-15T00:00:00"/>
        <d v="2023-12-08T00:00:00"/>
        <d v="2023-12-31T00:00:00"/>
        <d v="2024-01-23T00:00:00"/>
        <d v="2024-02-15T00:00:00"/>
        <d v="2024-03-09T00:00:00"/>
        <d v="2024-04-01T00:00:00"/>
        <d v="2024-04-24T00:00:00"/>
        <d v="2024-05-17T00:00:00"/>
        <d v="2024-06-09T00:00:00"/>
        <d v="2024-07-02T00:00:00"/>
        <d v="2024-07-25T00:00:00"/>
        <d v="2024-08-17T00:00:00"/>
        <d v="2024-09-09T00:00:00"/>
        <d v="2024-10-02T00:00:00"/>
        <d v="2024-10-25T00:00:00"/>
        <d v="2024-11-17T00:00:00"/>
        <d v="2024-12-10T00:00:00"/>
        <d v="2025-01-02T00:00:00"/>
        <d v="2025-01-25T00:00:00"/>
        <d v="2025-02-17T00:00:00"/>
        <d v="2025-03-12T00:00:00"/>
        <d v="2025-04-04T00:00:00"/>
        <d v="2025-04-27T00:00:00"/>
        <d v="2025-05-20T00:00:00"/>
        <d v="2025-06-12T00:00:00"/>
        <d v="2025-07-05T00:00:00"/>
        <d v="2025-07-28T00:00:00"/>
        <d v="2025-08-20T00:00:00"/>
        <d v="2025-09-12T00:00:00"/>
        <d v="2025-10-05T00:00:00"/>
        <d v="2025-10-28T00:00:00"/>
        <d v="2025-11-20T00:00:00"/>
        <d v="2025-12-13T00:00:00"/>
        <d v="2026-01-05T00:00:00"/>
        <d v="2026-01-28T00:00:00"/>
        <d v="2026-02-20T00:00:00"/>
      </sharedItems>
      <fieldGroup par="22"/>
    </cacheField>
    <cacheField name="Months (Admission_Date)" numFmtId="0" databaseField="0">
      <fieldGroup base="19">
        <rangePr groupBy="months" startDate="2022-06-04T00:00:00" endDate="2026-03-13T00:00:00"/>
        <groupItems count="14">
          <s v="&lt;04-06-2022"/>
          <s v="Jan"/>
          <s v="Feb"/>
          <s v="Mar"/>
          <s v="Apr"/>
          <s v="May"/>
          <s v="Jun"/>
          <s v="Jul"/>
          <s v="Aug"/>
          <s v="Sep"/>
          <s v="Oct"/>
          <s v="Nov"/>
          <s v="Dec"/>
          <s v="&gt;13-03-2026"/>
        </groupItems>
      </fieldGroup>
    </cacheField>
    <cacheField name="Quarters (Admission_Date)" numFmtId="0" databaseField="0">
      <fieldGroup base="19">
        <rangePr groupBy="quarters" startDate="2022-06-04T00:00:00" endDate="2026-03-13T00:00:00"/>
        <groupItems count="6">
          <s v="&lt;04-06-2022"/>
          <s v="Qtr1"/>
          <s v="Qtr2"/>
          <s v="Qtr3"/>
          <s v="Qtr4"/>
          <s v="&gt;13-03-2026"/>
        </groupItems>
      </fieldGroup>
    </cacheField>
    <cacheField name="Years (Admission_Date)" numFmtId="0" databaseField="0">
      <fieldGroup base="19">
        <rangePr groupBy="years" startDate="2022-06-04T00:00:00" endDate="2026-03-13T00:00:00"/>
        <groupItems count="7">
          <s v="&lt;04-06-2022"/>
          <s v="2022"/>
          <s v="2023"/>
          <s v="2024"/>
          <s v="2025"/>
          <s v="2026"/>
          <s v="&gt;13-03-2026"/>
        </groupItems>
      </fieldGroup>
    </cacheField>
  </cacheFields>
  <extLst>
    <ext xmlns:x14="http://schemas.microsoft.com/office/spreadsheetml/2009/9/main" uri="{725AE2AE-9491-48be-B2B4-4EB974FC3084}">
      <x14:pivotCacheDefinition pivotCacheId="179993959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jal Aling" refreshedDate="46308.642614699071" createdVersion="8" refreshedVersion="8" minRefreshableVersion="3" recordCount="121" xr:uid="{3731AD90-F3DC-4017-A226-E636D09AC928}">
  <cacheSource type="worksheet">
    <worksheetSource ref="A1:Q1048576" sheet="Student Raw Data"/>
  </cacheSource>
  <cacheFields count="20">
    <cacheField name="Student_ID" numFmtId="0">
      <sharedItems containsString="0" containsBlank="1" containsNumber="1" containsInteger="1" minValue="1001" maxValue="1120"/>
    </cacheField>
    <cacheField name="Student_Name" numFmtId="0">
      <sharedItems containsBlank="1"/>
    </cacheField>
    <cacheField name="Age" numFmtId="0">
      <sharedItems containsString="0" containsBlank="1" containsNumber="1" containsInteger="1" minValue="18" maxValue="25"/>
    </cacheField>
    <cacheField name="Gender" numFmtId="0">
      <sharedItems containsBlank="1"/>
    </cacheField>
    <cacheField name="Course" numFmtId="0">
      <sharedItems containsBlank="1"/>
    </cacheField>
    <cacheField name="Department" numFmtId="0">
      <sharedItems containsBlank="1"/>
    </cacheField>
    <cacheField name="Semester" numFmtId="0">
      <sharedItems containsString="0" containsBlank="1" containsNumber="1" containsInteger="1" minValue="1" maxValue="6"/>
    </cacheField>
    <cacheField name="City" numFmtId="0">
      <sharedItems containsBlank="1"/>
    </cacheField>
    <cacheField name="Attendance_Percent" numFmtId="0">
      <sharedItems containsString="0" containsBlank="1" containsNumber="1" containsInteger="1" minValue="60" maxValue="100"/>
    </cacheField>
    <cacheField name="Maths_Marks" numFmtId="0">
      <sharedItems containsString="0" containsBlank="1" containsNumber="1" containsInteger="1" minValue="35" maxValue="90"/>
    </cacheField>
    <cacheField name="SQL_Marks" numFmtId="0">
      <sharedItems containsString="0" containsBlank="1" containsNumber="1" containsInteger="1" minValue="30" maxValue="100"/>
    </cacheField>
    <cacheField name="Python_Marks" numFmtId="0">
      <sharedItems containsString="0" containsBlank="1" containsNumber="1" containsInteger="1" minValue="32" maxValue="100"/>
    </cacheField>
    <cacheField name="Excel_Marks" numFmtId="0">
      <sharedItems containsString="0" containsBlank="1" containsNumber="1" containsInteger="1" minValue="40" maxValue="100"/>
    </cacheField>
    <cacheField name="Communication_Marks" numFmtId="0">
      <sharedItems containsString="0" containsBlank="1" containsNumber="1" containsInteger="1" minValue="45" maxValue="100"/>
    </cacheField>
    <cacheField name="Average_Marks" numFmtId="0">
      <sharedItems containsString="0" containsBlank="1" containsNumber="1" minValue="48.4" maxValue="89.8"/>
    </cacheField>
    <cacheField name="Result_Status" numFmtId="0">
      <sharedItems containsBlank="1"/>
    </cacheField>
    <cacheField name="Email" numFmtId="0">
      <sharedItems containsBlank="1"/>
    </cacheField>
    <cacheField name="Roll_Number" numFmtId="0">
      <sharedItems containsBlank="1"/>
    </cacheField>
    <cacheField name="Annual_Fee_INR" numFmtId="0">
      <sharedItems containsString="0" containsBlank="1" containsNumber="1" containsInteger="1" minValue="15000" maxValue="27500"/>
    </cacheField>
    <cacheField name="Admission_Date" numFmtId="0">
      <sharedItems containsNonDate="0" containsDate="1" containsString="0" containsBlank="1" minDate="2022-06-04T00:00:00" maxDate="2026-03-13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n v="19"/>
    <s v="Male"/>
    <x v="0"/>
    <x v="0"/>
    <x v="0"/>
    <x v="0"/>
    <x v="0"/>
    <n v="46"/>
    <n v="43"/>
    <n v="49"/>
    <n v="59"/>
    <n v="54"/>
    <x v="0"/>
    <x v="0"/>
    <s v="student001@example.com"/>
    <x v="0"/>
    <n v="17500"/>
    <x v="0"/>
  </r>
  <r>
    <x v="1"/>
    <x v="1"/>
    <n v="20"/>
    <s v="Female"/>
    <x v="1"/>
    <x v="1"/>
    <x v="1"/>
    <x v="1"/>
    <x v="1"/>
    <n v="57"/>
    <n v="56"/>
    <n v="66"/>
    <n v="78"/>
    <n v="63"/>
    <x v="1"/>
    <x v="0"/>
    <s v="student002@example.com"/>
    <x v="1"/>
    <n v="20000"/>
    <x v="1"/>
  </r>
  <r>
    <x v="2"/>
    <x v="2"/>
    <n v="21"/>
    <s v="Male"/>
    <x v="0"/>
    <x v="2"/>
    <x v="2"/>
    <x v="2"/>
    <x v="2"/>
    <n v="68"/>
    <n v="69"/>
    <n v="83"/>
    <n v="97"/>
    <n v="72"/>
    <x v="2"/>
    <x v="0"/>
    <s v="student003@example.com"/>
    <x v="2"/>
    <n v="22500"/>
    <x v="2"/>
  </r>
  <r>
    <x v="3"/>
    <x v="3"/>
    <n v="22"/>
    <s v="Female"/>
    <x v="1"/>
    <x v="3"/>
    <x v="3"/>
    <x v="3"/>
    <x v="3"/>
    <n v="79"/>
    <n v="82"/>
    <n v="100"/>
    <n v="55"/>
    <n v="81"/>
    <x v="3"/>
    <x v="0"/>
    <s v="student004@example.com"/>
    <x v="3"/>
    <n v="25000"/>
    <x v="3"/>
  </r>
  <r>
    <x v="4"/>
    <x v="4"/>
    <n v="23"/>
    <s v="Male"/>
    <x v="0"/>
    <x v="4"/>
    <x v="4"/>
    <x v="4"/>
    <x v="4"/>
    <n v="90"/>
    <n v="95"/>
    <n v="48"/>
    <n v="74"/>
    <n v="90"/>
    <x v="3"/>
    <x v="0"/>
    <s v="student005@example.com"/>
    <x v="4"/>
    <n v="27500"/>
    <x v="4"/>
  </r>
  <r>
    <x v="5"/>
    <x v="5"/>
    <n v="24"/>
    <s v="Female"/>
    <x v="1"/>
    <x v="0"/>
    <x v="5"/>
    <x v="5"/>
    <x v="5"/>
    <n v="35"/>
    <n v="37"/>
    <n v="65"/>
    <n v="93"/>
    <n v="99"/>
    <x v="4"/>
    <x v="0"/>
    <s v="student006@example.com"/>
    <x v="5"/>
    <n v="15000"/>
    <x v="5"/>
  </r>
  <r>
    <x v="6"/>
    <x v="6"/>
    <n v="25"/>
    <s v="Male"/>
    <x v="2"/>
    <x v="1"/>
    <x v="0"/>
    <x v="6"/>
    <x v="6"/>
    <n v="46"/>
    <n v="50"/>
    <n v="82"/>
    <n v="51"/>
    <n v="52"/>
    <x v="5"/>
    <x v="0"/>
    <s v="student007@example.com"/>
    <x v="6"/>
    <n v="17500"/>
    <x v="6"/>
  </r>
  <r>
    <x v="7"/>
    <x v="7"/>
    <n v="18"/>
    <s v="Female"/>
    <x v="3"/>
    <x v="2"/>
    <x v="1"/>
    <x v="7"/>
    <x v="7"/>
    <n v="57"/>
    <n v="63"/>
    <n v="99"/>
    <n v="70"/>
    <n v="61"/>
    <x v="6"/>
    <x v="0"/>
    <s v="student008@example.com"/>
    <x v="7"/>
    <n v="20000"/>
    <x v="7"/>
  </r>
  <r>
    <x v="8"/>
    <x v="8"/>
    <n v="19"/>
    <s v="Male"/>
    <x v="2"/>
    <x v="3"/>
    <x v="2"/>
    <x v="0"/>
    <x v="8"/>
    <n v="68"/>
    <n v="76"/>
    <n v="47"/>
    <n v="89"/>
    <n v="70"/>
    <x v="6"/>
    <x v="0"/>
    <s v="student009@example.com"/>
    <x v="8"/>
    <n v="22500"/>
    <x v="8"/>
  </r>
  <r>
    <x v="9"/>
    <x v="9"/>
    <n v="20"/>
    <s v="Female"/>
    <x v="3"/>
    <x v="4"/>
    <x v="3"/>
    <x v="1"/>
    <x v="9"/>
    <n v="79"/>
    <n v="89"/>
    <n v="64"/>
    <n v="47"/>
    <n v="79"/>
    <x v="7"/>
    <x v="0"/>
    <s v="student010@example.com"/>
    <x v="9"/>
    <n v="25000"/>
    <x v="9"/>
  </r>
  <r>
    <x v="10"/>
    <x v="10"/>
    <n v="21"/>
    <s v="Male"/>
    <x v="2"/>
    <x v="0"/>
    <x v="4"/>
    <x v="2"/>
    <x v="10"/>
    <n v="90"/>
    <n v="31"/>
    <n v="81"/>
    <n v="66"/>
    <n v="88"/>
    <x v="8"/>
    <x v="1"/>
    <s v="student011@example.com"/>
    <x v="10"/>
    <n v="27500"/>
    <x v="10"/>
  </r>
  <r>
    <x v="11"/>
    <x v="11"/>
    <n v="22"/>
    <s v="Female"/>
    <x v="3"/>
    <x v="1"/>
    <x v="5"/>
    <x v="3"/>
    <x v="11"/>
    <n v="35"/>
    <n v="44"/>
    <n v="98"/>
    <n v="85"/>
    <n v="97"/>
    <x v="9"/>
    <x v="0"/>
    <s v="student012@example.com"/>
    <x v="11"/>
    <n v="15000"/>
    <x v="11"/>
  </r>
  <r>
    <x v="12"/>
    <x v="12"/>
    <n v="23"/>
    <s v="Male"/>
    <x v="2"/>
    <x v="2"/>
    <x v="0"/>
    <x v="4"/>
    <x v="12"/>
    <n v="46"/>
    <n v="57"/>
    <n v="46"/>
    <n v="43"/>
    <n v="50"/>
    <x v="10"/>
    <x v="0"/>
    <s v="student013@example.com"/>
    <x v="12"/>
    <n v="17500"/>
    <x v="12"/>
  </r>
  <r>
    <x v="13"/>
    <x v="13"/>
    <n v="24"/>
    <s v="Female"/>
    <x v="4"/>
    <x v="3"/>
    <x v="1"/>
    <x v="5"/>
    <x v="13"/>
    <n v="57"/>
    <n v="70"/>
    <n v="63"/>
    <n v="62"/>
    <n v="59"/>
    <x v="11"/>
    <x v="0"/>
    <s v="student014@example.com"/>
    <x v="13"/>
    <n v="20000"/>
    <x v="13"/>
  </r>
  <r>
    <x v="14"/>
    <x v="14"/>
    <n v="25"/>
    <s v="Male"/>
    <x v="5"/>
    <x v="4"/>
    <x v="2"/>
    <x v="6"/>
    <x v="14"/>
    <n v="68"/>
    <n v="83"/>
    <n v="80"/>
    <n v="81"/>
    <n v="68"/>
    <x v="12"/>
    <x v="0"/>
    <s v="student015@example.com"/>
    <x v="14"/>
    <n v="22500"/>
    <x v="14"/>
  </r>
  <r>
    <x v="15"/>
    <x v="15"/>
    <n v="18"/>
    <s v="Female"/>
    <x v="4"/>
    <x v="0"/>
    <x v="3"/>
    <x v="7"/>
    <x v="15"/>
    <n v="79"/>
    <n v="96"/>
    <n v="97"/>
    <n v="100"/>
    <n v="77"/>
    <x v="13"/>
    <x v="0"/>
    <s v="student016@example.com"/>
    <x v="15"/>
    <n v="25000"/>
    <x v="15"/>
  </r>
  <r>
    <x v="16"/>
    <x v="16"/>
    <n v="19"/>
    <s v="Male"/>
    <x v="5"/>
    <x v="1"/>
    <x v="4"/>
    <x v="0"/>
    <x v="16"/>
    <n v="90"/>
    <n v="38"/>
    <n v="45"/>
    <n v="58"/>
    <n v="86"/>
    <x v="14"/>
    <x v="0"/>
    <s v="student017@example.com"/>
    <x v="16"/>
    <n v="27500"/>
    <x v="16"/>
  </r>
  <r>
    <x v="17"/>
    <x v="17"/>
    <n v="20"/>
    <s v="Female"/>
    <x v="4"/>
    <x v="2"/>
    <x v="5"/>
    <x v="1"/>
    <x v="17"/>
    <n v="35"/>
    <n v="51"/>
    <n v="62"/>
    <n v="77"/>
    <n v="95"/>
    <x v="1"/>
    <x v="0"/>
    <s v="student018@example.com"/>
    <x v="17"/>
    <n v="15000"/>
    <x v="17"/>
  </r>
  <r>
    <x v="18"/>
    <x v="18"/>
    <n v="21"/>
    <s v="Male"/>
    <x v="5"/>
    <x v="3"/>
    <x v="0"/>
    <x v="2"/>
    <x v="18"/>
    <n v="46"/>
    <n v="64"/>
    <n v="79"/>
    <n v="96"/>
    <n v="48"/>
    <x v="15"/>
    <x v="0"/>
    <s v="student019@example.com"/>
    <x v="18"/>
    <n v="17500"/>
    <x v="18"/>
  </r>
  <r>
    <x v="19"/>
    <x v="19"/>
    <n v="22"/>
    <s v="Female"/>
    <x v="4"/>
    <x v="4"/>
    <x v="1"/>
    <x v="3"/>
    <x v="19"/>
    <n v="57"/>
    <n v="77"/>
    <n v="96"/>
    <n v="54"/>
    <n v="57"/>
    <x v="16"/>
    <x v="0"/>
    <s v="student020@example.com"/>
    <x v="19"/>
    <n v="20000"/>
    <x v="19"/>
  </r>
  <r>
    <x v="20"/>
    <x v="20"/>
    <n v="23"/>
    <s v="Male"/>
    <x v="1"/>
    <x v="0"/>
    <x v="2"/>
    <x v="4"/>
    <x v="20"/>
    <n v="68"/>
    <n v="90"/>
    <n v="44"/>
    <n v="73"/>
    <n v="66"/>
    <x v="16"/>
    <x v="0"/>
    <s v="student021@example.com"/>
    <x v="20"/>
    <n v="22500"/>
    <x v="20"/>
  </r>
  <r>
    <x v="21"/>
    <x v="21"/>
    <n v="24"/>
    <s v="Female"/>
    <x v="0"/>
    <x v="1"/>
    <x v="3"/>
    <x v="5"/>
    <x v="21"/>
    <n v="79"/>
    <n v="32"/>
    <n v="61"/>
    <n v="92"/>
    <n v="75"/>
    <x v="17"/>
    <x v="1"/>
    <s v="student022@example.com"/>
    <x v="21"/>
    <n v="25000"/>
    <x v="21"/>
  </r>
  <r>
    <x v="22"/>
    <x v="22"/>
    <n v="25"/>
    <s v="Male"/>
    <x v="1"/>
    <x v="2"/>
    <x v="4"/>
    <x v="6"/>
    <x v="22"/>
    <n v="90"/>
    <n v="45"/>
    <n v="78"/>
    <n v="50"/>
    <n v="84"/>
    <x v="18"/>
    <x v="0"/>
    <s v="student023@example.com"/>
    <x v="22"/>
    <n v="27500"/>
    <x v="22"/>
  </r>
  <r>
    <x v="23"/>
    <x v="23"/>
    <n v="18"/>
    <s v="Female"/>
    <x v="0"/>
    <x v="3"/>
    <x v="5"/>
    <x v="7"/>
    <x v="23"/>
    <n v="35"/>
    <n v="58"/>
    <n v="95"/>
    <n v="69"/>
    <n v="93"/>
    <x v="6"/>
    <x v="0"/>
    <s v="student024@example.com"/>
    <x v="23"/>
    <n v="15000"/>
    <x v="23"/>
  </r>
  <r>
    <x v="24"/>
    <x v="24"/>
    <n v="19"/>
    <s v="Male"/>
    <x v="1"/>
    <x v="4"/>
    <x v="0"/>
    <x v="0"/>
    <x v="24"/>
    <n v="46"/>
    <n v="71"/>
    <n v="43"/>
    <n v="88"/>
    <n v="46"/>
    <x v="19"/>
    <x v="0"/>
    <s v="student025@example.com"/>
    <x v="24"/>
    <n v="17500"/>
    <x v="24"/>
  </r>
  <r>
    <x v="25"/>
    <x v="25"/>
    <n v="20"/>
    <s v="Female"/>
    <x v="0"/>
    <x v="0"/>
    <x v="1"/>
    <x v="1"/>
    <x v="25"/>
    <n v="57"/>
    <n v="84"/>
    <n v="60"/>
    <n v="46"/>
    <n v="55"/>
    <x v="20"/>
    <x v="0"/>
    <s v="student026@example.com"/>
    <x v="25"/>
    <n v="20000"/>
    <x v="25"/>
  </r>
  <r>
    <x v="26"/>
    <x v="26"/>
    <n v="21"/>
    <s v="Male"/>
    <x v="1"/>
    <x v="1"/>
    <x v="2"/>
    <x v="2"/>
    <x v="26"/>
    <n v="68"/>
    <n v="97"/>
    <n v="77"/>
    <n v="65"/>
    <n v="64"/>
    <x v="21"/>
    <x v="0"/>
    <s v="student027@example.com"/>
    <x v="26"/>
    <n v="22500"/>
    <x v="26"/>
  </r>
  <r>
    <x v="27"/>
    <x v="27"/>
    <n v="22"/>
    <s v="Female"/>
    <x v="2"/>
    <x v="2"/>
    <x v="3"/>
    <x v="3"/>
    <x v="27"/>
    <n v="79"/>
    <n v="39"/>
    <n v="94"/>
    <n v="84"/>
    <n v="73"/>
    <x v="22"/>
    <x v="0"/>
    <s v="student028@example.com"/>
    <x v="27"/>
    <n v="25000"/>
    <x v="27"/>
  </r>
  <r>
    <x v="28"/>
    <x v="28"/>
    <n v="23"/>
    <s v="Male"/>
    <x v="3"/>
    <x v="3"/>
    <x v="4"/>
    <x v="4"/>
    <x v="28"/>
    <n v="90"/>
    <n v="52"/>
    <n v="42"/>
    <n v="42"/>
    <n v="82"/>
    <x v="23"/>
    <x v="0"/>
    <s v="student029@example.com"/>
    <x v="28"/>
    <n v="27500"/>
    <x v="28"/>
  </r>
  <r>
    <x v="29"/>
    <x v="29"/>
    <n v="24"/>
    <s v="Female"/>
    <x v="2"/>
    <x v="4"/>
    <x v="5"/>
    <x v="5"/>
    <x v="29"/>
    <n v="35"/>
    <n v="65"/>
    <n v="59"/>
    <n v="61"/>
    <n v="91"/>
    <x v="11"/>
    <x v="0"/>
    <s v="student030@example.com"/>
    <x v="29"/>
    <n v="15000"/>
    <x v="29"/>
  </r>
  <r>
    <x v="30"/>
    <x v="30"/>
    <n v="25"/>
    <s v="Male"/>
    <x v="3"/>
    <x v="0"/>
    <x v="0"/>
    <x v="6"/>
    <x v="30"/>
    <n v="46"/>
    <n v="78"/>
    <n v="76"/>
    <n v="80"/>
    <n v="100"/>
    <x v="12"/>
    <x v="0"/>
    <s v="student031@example.com"/>
    <x v="30"/>
    <n v="17500"/>
    <x v="30"/>
  </r>
  <r>
    <x v="31"/>
    <x v="31"/>
    <n v="18"/>
    <s v="Female"/>
    <x v="2"/>
    <x v="1"/>
    <x v="1"/>
    <x v="7"/>
    <x v="31"/>
    <n v="57"/>
    <n v="91"/>
    <n v="93"/>
    <n v="99"/>
    <n v="53"/>
    <x v="24"/>
    <x v="0"/>
    <s v="student032@example.com"/>
    <x v="31"/>
    <n v="20000"/>
    <x v="31"/>
  </r>
  <r>
    <x v="32"/>
    <x v="32"/>
    <n v="19"/>
    <s v="Male"/>
    <x v="3"/>
    <x v="2"/>
    <x v="2"/>
    <x v="0"/>
    <x v="32"/>
    <n v="68"/>
    <n v="33"/>
    <n v="41"/>
    <n v="57"/>
    <n v="62"/>
    <x v="25"/>
    <x v="1"/>
    <s v="student033@example.com"/>
    <x v="32"/>
    <n v="22500"/>
    <x v="32"/>
  </r>
  <r>
    <x v="33"/>
    <x v="33"/>
    <n v="20"/>
    <s v="Female"/>
    <x v="2"/>
    <x v="3"/>
    <x v="3"/>
    <x v="1"/>
    <x v="33"/>
    <n v="79"/>
    <n v="46"/>
    <n v="58"/>
    <n v="76"/>
    <n v="71"/>
    <x v="26"/>
    <x v="0"/>
    <s v="student034@example.com"/>
    <x v="33"/>
    <n v="25000"/>
    <x v="33"/>
  </r>
  <r>
    <x v="34"/>
    <x v="34"/>
    <n v="21"/>
    <s v="Male"/>
    <x v="4"/>
    <x v="4"/>
    <x v="4"/>
    <x v="2"/>
    <x v="34"/>
    <n v="90"/>
    <n v="59"/>
    <n v="75"/>
    <n v="95"/>
    <n v="80"/>
    <x v="27"/>
    <x v="0"/>
    <s v="student035@example.com"/>
    <x v="34"/>
    <n v="27500"/>
    <x v="34"/>
  </r>
  <r>
    <x v="35"/>
    <x v="35"/>
    <n v="22"/>
    <s v="Female"/>
    <x v="5"/>
    <x v="0"/>
    <x v="5"/>
    <x v="3"/>
    <x v="35"/>
    <n v="35"/>
    <n v="72"/>
    <n v="92"/>
    <n v="53"/>
    <n v="89"/>
    <x v="16"/>
    <x v="0"/>
    <s v="student036@example.com"/>
    <x v="35"/>
    <n v="15000"/>
    <x v="35"/>
  </r>
  <r>
    <x v="36"/>
    <x v="36"/>
    <n v="23"/>
    <s v="Male"/>
    <x v="4"/>
    <x v="1"/>
    <x v="0"/>
    <x v="4"/>
    <x v="36"/>
    <n v="46"/>
    <n v="85"/>
    <n v="40"/>
    <n v="72"/>
    <n v="98"/>
    <x v="16"/>
    <x v="0"/>
    <s v="student037@example.com"/>
    <x v="36"/>
    <n v="17500"/>
    <x v="36"/>
  </r>
  <r>
    <x v="37"/>
    <x v="37"/>
    <n v="24"/>
    <s v="Female"/>
    <x v="5"/>
    <x v="2"/>
    <x v="1"/>
    <x v="5"/>
    <x v="37"/>
    <n v="57"/>
    <n v="98"/>
    <n v="57"/>
    <n v="91"/>
    <n v="51"/>
    <x v="28"/>
    <x v="0"/>
    <s v="student038@example.com"/>
    <x v="37"/>
    <n v="20000"/>
    <x v="37"/>
  </r>
  <r>
    <x v="38"/>
    <x v="38"/>
    <n v="25"/>
    <s v="Male"/>
    <x v="4"/>
    <x v="3"/>
    <x v="2"/>
    <x v="6"/>
    <x v="38"/>
    <n v="68"/>
    <n v="40"/>
    <n v="74"/>
    <n v="49"/>
    <n v="60"/>
    <x v="29"/>
    <x v="0"/>
    <s v="student039@example.com"/>
    <x v="38"/>
    <n v="22500"/>
    <x v="38"/>
  </r>
  <r>
    <x v="39"/>
    <x v="39"/>
    <n v="18"/>
    <s v="Female"/>
    <x v="5"/>
    <x v="4"/>
    <x v="3"/>
    <x v="7"/>
    <x v="39"/>
    <n v="79"/>
    <n v="53"/>
    <n v="91"/>
    <n v="68"/>
    <n v="69"/>
    <x v="30"/>
    <x v="0"/>
    <s v="student040@example.com"/>
    <x v="39"/>
    <n v="25000"/>
    <x v="39"/>
  </r>
  <r>
    <x v="40"/>
    <x v="40"/>
    <n v="19"/>
    <s v="Male"/>
    <x v="4"/>
    <x v="0"/>
    <x v="4"/>
    <x v="0"/>
    <x v="40"/>
    <n v="90"/>
    <n v="66"/>
    <n v="39"/>
    <n v="87"/>
    <n v="78"/>
    <x v="30"/>
    <x v="0"/>
    <s v="student041@example.com"/>
    <x v="40"/>
    <n v="27500"/>
    <x v="40"/>
  </r>
  <r>
    <x v="41"/>
    <x v="41"/>
    <n v="20"/>
    <s v="Female"/>
    <x v="1"/>
    <x v="1"/>
    <x v="5"/>
    <x v="1"/>
    <x v="0"/>
    <n v="35"/>
    <n v="79"/>
    <n v="56"/>
    <n v="45"/>
    <n v="87"/>
    <x v="20"/>
    <x v="0"/>
    <s v="student042@example.com"/>
    <x v="41"/>
    <n v="15000"/>
    <x v="41"/>
  </r>
  <r>
    <x v="42"/>
    <x v="42"/>
    <n v="21"/>
    <s v="Male"/>
    <x v="0"/>
    <x v="2"/>
    <x v="0"/>
    <x v="2"/>
    <x v="1"/>
    <n v="46"/>
    <n v="92"/>
    <n v="73"/>
    <n v="64"/>
    <n v="96"/>
    <x v="21"/>
    <x v="0"/>
    <s v="student043@example.com"/>
    <x v="42"/>
    <n v="17500"/>
    <x v="42"/>
  </r>
  <r>
    <x v="43"/>
    <x v="43"/>
    <n v="22"/>
    <s v="Female"/>
    <x v="1"/>
    <x v="3"/>
    <x v="1"/>
    <x v="3"/>
    <x v="2"/>
    <n v="57"/>
    <n v="34"/>
    <n v="90"/>
    <n v="83"/>
    <n v="49"/>
    <x v="31"/>
    <x v="1"/>
    <s v="student044@example.com"/>
    <x v="43"/>
    <n v="20000"/>
    <x v="43"/>
  </r>
  <r>
    <x v="44"/>
    <x v="44"/>
    <n v="23"/>
    <s v="Male"/>
    <x v="0"/>
    <x v="4"/>
    <x v="2"/>
    <x v="4"/>
    <x v="3"/>
    <n v="68"/>
    <n v="47"/>
    <n v="38"/>
    <n v="41"/>
    <n v="58"/>
    <x v="32"/>
    <x v="0"/>
    <s v="student045@example.com"/>
    <x v="44"/>
    <n v="22500"/>
    <x v="44"/>
  </r>
  <r>
    <x v="45"/>
    <x v="45"/>
    <n v="24"/>
    <s v="Female"/>
    <x v="1"/>
    <x v="0"/>
    <x v="3"/>
    <x v="5"/>
    <x v="4"/>
    <n v="79"/>
    <n v="60"/>
    <n v="55"/>
    <n v="60"/>
    <n v="67"/>
    <x v="33"/>
    <x v="0"/>
    <s v="student046@example.com"/>
    <x v="45"/>
    <n v="25000"/>
    <x v="45"/>
  </r>
  <r>
    <x v="46"/>
    <x v="46"/>
    <n v="25"/>
    <s v="Male"/>
    <x v="0"/>
    <x v="1"/>
    <x v="4"/>
    <x v="6"/>
    <x v="5"/>
    <n v="90"/>
    <n v="73"/>
    <n v="72"/>
    <n v="79"/>
    <n v="76"/>
    <x v="34"/>
    <x v="0"/>
    <s v="student047@example.com"/>
    <x v="46"/>
    <n v="27500"/>
    <x v="46"/>
  </r>
  <r>
    <x v="47"/>
    <x v="47"/>
    <n v="18"/>
    <s v="Female"/>
    <x v="1"/>
    <x v="2"/>
    <x v="5"/>
    <x v="7"/>
    <x v="6"/>
    <n v="35"/>
    <n v="86"/>
    <n v="89"/>
    <n v="98"/>
    <n v="85"/>
    <x v="24"/>
    <x v="0"/>
    <s v="student048@example.com"/>
    <x v="47"/>
    <n v="15000"/>
    <x v="47"/>
  </r>
  <r>
    <x v="48"/>
    <x v="48"/>
    <n v="19"/>
    <s v="Male"/>
    <x v="2"/>
    <x v="3"/>
    <x v="0"/>
    <x v="0"/>
    <x v="7"/>
    <n v="46"/>
    <n v="99"/>
    <n v="37"/>
    <n v="56"/>
    <n v="94"/>
    <x v="35"/>
    <x v="0"/>
    <s v="student049@example.com"/>
    <x v="48"/>
    <n v="17500"/>
    <x v="48"/>
  </r>
  <r>
    <x v="49"/>
    <x v="49"/>
    <n v="20"/>
    <s v="Female"/>
    <x v="3"/>
    <x v="4"/>
    <x v="1"/>
    <x v="1"/>
    <x v="8"/>
    <n v="57"/>
    <n v="41"/>
    <n v="54"/>
    <n v="75"/>
    <n v="47"/>
    <x v="36"/>
    <x v="0"/>
    <s v="student050@example.com"/>
    <x v="49"/>
    <n v="20000"/>
    <x v="49"/>
  </r>
  <r>
    <x v="50"/>
    <x v="50"/>
    <n v="21"/>
    <s v="Male"/>
    <x v="2"/>
    <x v="0"/>
    <x v="2"/>
    <x v="2"/>
    <x v="9"/>
    <n v="68"/>
    <n v="54"/>
    <n v="71"/>
    <n v="94"/>
    <n v="56"/>
    <x v="37"/>
    <x v="0"/>
    <s v="student051@example.com"/>
    <x v="50"/>
    <n v="22500"/>
    <x v="50"/>
  </r>
  <r>
    <x v="51"/>
    <x v="51"/>
    <n v="22"/>
    <s v="Female"/>
    <x v="3"/>
    <x v="1"/>
    <x v="3"/>
    <x v="3"/>
    <x v="10"/>
    <n v="79"/>
    <n v="67"/>
    <n v="88"/>
    <n v="52"/>
    <n v="65"/>
    <x v="38"/>
    <x v="0"/>
    <s v="student052@example.com"/>
    <x v="51"/>
    <n v="25000"/>
    <x v="51"/>
  </r>
  <r>
    <x v="52"/>
    <x v="52"/>
    <n v="23"/>
    <s v="Male"/>
    <x v="2"/>
    <x v="2"/>
    <x v="4"/>
    <x v="4"/>
    <x v="11"/>
    <n v="90"/>
    <n v="80"/>
    <n v="36"/>
    <n v="71"/>
    <n v="74"/>
    <x v="38"/>
    <x v="0"/>
    <s v="student053@example.com"/>
    <x v="52"/>
    <n v="27500"/>
    <x v="52"/>
  </r>
  <r>
    <x v="53"/>
    <x v="53"/>
    <n v="24"/>
    <s v="Female"/>
    <x v="3"/>
    <x v="3"/>
    <x v="5"/>
    <x v="5"/>
    <x v="12"/>
    <n v="35"/>
    <n v="93"/>
    <n v="53"/>
    <n v="90"/>
    <n v="83"/>
    <x v="28"/>
    <x v="0"/>
    <s v="student054@example.com"/>
    <x v="53"/>
    <n v="15000"/>
    <x v="53"/>
  </r>
  <r>
    <x v="54"/>
    <x v="54"/>
    <n v="25"/>
    <s v="Male"/>
    <x v="2"/>
    <x v="4"/>
    <x v="0"/>
    <x v="6"/>
    <x v="13"/>
    <n v="46"/>
    <n v="35"/>
    <n v="70"/>
    <n v="48"/>
    <n v="92"/>
    <x v="29"/>
    <x v="0"/>
    <s v="student055@example.com"/>
    <x v="54"/>
    <n v="17500"/>
    <x v="54"/>
  </r>
  <r>
    <x v="55"/>
    <x v="55"/>
    <n v="18"/>
    <s v="Female"/>
    <x v="4"/>
    <x v="0"/>
    <x v="1"/>
    <x v="7"/>
    <x v="14"/>
    <n v="57"/>
    <n v="48"/>
    <n v="87"/>
    <n v="67"/>
    <n v="45"/>
    <x v="39"/>
    <x v="0"/>
    <s v="student056@example.com"/>
    <x v="55"/>
    <n v="20000"/>
    <x v="55"/>
  </r>
  <r>
    <x v="56"/>
    <x v="56"/>
    <n v="19"/>
    <s v="Male"/>
    <x v="5"/>
    <x v="1"/>
    <x v="2"/>
    <x v="0"/>
    <x v="15"/>
    <n v="68"/>
    <n v="61"/>
    <n v="35"/>
    <n v="86"/>
    <n v="54"/>
    <x v="39"/>
    <x v="0"/>
    <s v="student057@example.com"/>
    <x v="56"/>
    <n v="22500"/>
    <x v="56"/>
  </r>
  <r>
    <x v="57"/>
    <x v="57"/>
    <n v="20"/>
    <s v="Female"/>
    <x v="4"/>
    <x v="2"/>
    <x v="3"/>
    <x v="1"/>
    <x v="16"/>
    <n v="79"/>
    <n v="74"/>
    <n v="52"/>
    <n v="44"/>
    <n v="63"/>
    <x v="40"/>
    <x v="0"/>
    <s v="student058@example.com"/>
    <x v="57"/>
    <n v="25000"/>
    <x v="57"/>
  </r>
  <r>
    <x v="58"/>
    <x v="58"/>
    <n v="21"/>
    <s v="Male"/>
    <x v="5"/>
    <x v="3"/>
    <x v="4"/>
    <x v="2"/>
    <x v="17"/>
    <n v="90"/>
    <n v="87"/>
    <n v="69"/>
    <n v="63"/>
    <n v="72"/>
    <x v="41"/>
    <x v="0"/>
    <s v="student059@example.com"/>
    <x v="58"/>
    <n v="27500"/>
    <x v="58"/>
  </r>
  <r>
    <x v="59"/>
    <x v="59"/>
    <n v="22"/>
    <s v="Female"/>
    <x v="4"/>
    <x v="4"/>
    <x v="5"/>
    <x v="3"/>
    <x v="18"/>
    <n v="35"/>
    <n v="100"/>
    <n v="86"/>
    <n v="82"/>
    <n v="81"/>
    <x v="42"/>
    <x v="0"/>
    <s v="student060@example.com"/>
    <x v="59"/>
    <n v="15000"/>
    <x v="59"/>
  </r>
  <r>
    <x v="60"/>
    <x v="60"/>
    <n v="23"/>
    <s v="Male"/>
    <x v="5"/>
    <x v="0"/>
    <x v="0"/>
    <x v="4"/>
    <x v="19"/>
    <n v="46"/>
    <n v="42"/>
    <n v="34"/>
    <n v="40"/>
    <n v="90"/>
    <x v="32"/>
    <x v="1"/>
    <s v="student061@example.com"/>
    <x v="60"/>
    <n v="17500"/>
    <x v="60"/>
  </r>
  <r>
    <x v="61"/>
    <x v="61"/>
    <n v="24"/>
    <s v="Female"/>
    <x v="4"/>
    <x v="1"/>
    <x v="1"/>
    <x v="5"/>
    <x v="20"/>
    <n v="57"/>
    <n v="55"/>
    <n v="51"/>
    <n v="59"/>
    <n v="99"/>
    <x v="33"/>
    <x v="0"/>
    <s v="student062@example.com"/>
    <x v="61"/>
    <n v="20000"/>
    <x v="61"/>
  </r>
  <r>
    <x v="62"/>
    <x v="62"/>
    <n v="25"/>
    <s v="Male"/>
    <x v="1"/>
    <x v="2"/>
    <x v="2"/>
    <x v="6"/>
    <x v="21"/>
    <n v="68"/>
    <n v="68"/>
    <n v="68"/>
    <n v="78"/>
    <n v="52"/>
    <x v="43"/>
    <x v="0"/>
    <s v="student063@example.com"/>
    <x v="62"/>
    <n v="22500"/>
    <x v="62"/>
  </r>
  <r>
    <x v="63"/>
    <x v="63"/>
    <n v="18"/>
    <s v="Female"/>
    <x v="0"/>
    <x v="3"/>
    <x v="3"/>
    <x v="7"/>
    <x v="22"/>
    <n v="79"/>
    <n v="81"/>
    <n v="85"/>
    <n v="97"/>
    <n v="61"/>
    <x v="44"/>
    <x v="0"/>
    <s v="student064@example.com"/>
    <x v="63"/>
    <n v="25000"/>
    <x v="63"/>
  </r>
  <r>
    <x v="64"/>
    <x v="64"/>
    <n v="19"/>
    <s v="Male"/>
    <x v="1"/>
    <x v="4"/>
    <x v="4"/>
    <x v="0"/>
    <x v="23"/>
    <n v="90"/>
    <n v="94"/>
    <n v="33"/>
    <n v="55"/>
    <n v="70"/>
    <x v="45"/>
    <x v="1"/>
    <s v="student065@example.com"/>
    <x v="64"/>
    <n v="27500"/>
    <x v="64"/>
  </r>
  <r>
    <x v="65"/>
    <x v="65"/>
    <n v="20"/>
    <s v="Female"/>
    <x v="0"/>
    <x v="0"/>
    <x v="5"/>
    <x v="1"/>
    <x v="24"/>
    <n v="35"/>
    <n v="36"/>
    <n v="50"/>
    <n v="74"/>
    <n v="79"/>
    <x v="36"/>
    <x v="0"/>
    <s v="student066@example.com"/>
    <x v="65"/>
    <n v="15000"/>
    <x v="65"/>
  </r>
  <r>
    <x v="66"/>
    <x v="66"/>
    <n v="21"/>
    <s v="Male"/>
    <x v="1"/>
    <x v="1"/>
    <x v="0"/>
    <x v="2"/>
    <x v="25"/>
    <n v="46"/>
    <n v="49"/>
    <n v="67"/>
    <n v="93"/>
    <n v="88"/>
    <x v="37"/>
    <x v="0"/>
    <s v="student067@example.com"/>
    <x v="66"/>
    <n v="17500"/>
    <x v="66"/>
  </r>
  <r>
    <x v="67"/>
    <x v="67"/>
    <n v="22"/>
    <s v="Female"/>
    <x v="0"/>
    <x v="2"/>
    <x v="1"/>
    <x v="3"/>
    <x v="26"/>
    <n v="57"/>
    <n v="62"/>
    <n v="84"/>
    <n v="51"/>
    <n v="97"/>
    <x v="38"/>
    <x v="0"/>
    <s v="student068@example.com"/>
    <x v="67"/>
    <n v="20000"/>
    <x v="67"/>
  </r>
  <r>
    <x v="68"/>
    <x v="68"/>
    <n v="23"/>
    <s v="Male"/>
    <x v="1"/>
    <x v="3"/>
    <x v="2"/>
    <x v="4"/>
    <x v="27"/>
    <n v="68"/>
    <n v="75"/>
    <n v="32"/>
    <n v="70"/>
    <n v="50"/>
    <x v="46"/>
    <x v="1"/>
    <s v="student069@example.com"/>
    <x v="68"/>
    <n v="22500"/>
    <x v="68"/>
  </r>
  <r>
    <x v="69"/>
    <x v="69"/>
    <n v="24"/>
    <s v="Female"/>
    <x v="2"/>
    <x v="4"/>
    <x v="3"/>
    <x v="5"/>
    <x v="28"/>
    <n v="79"/>
    <n v="88"/>
    <n v="49"/>
    <n v="89"/>
    <n v="59"/>
    <x v="47"/>
    <x v="0"/>
    <s v="student070@example.com"/>
    <x v="69"/>
    <n v="25000"/>
    <x v="69"/>
  </r>
  <r>
    <x v="70"/>
    <x v="70"/>
    <n v="25"/>
    <s v="Male"/>
    <x v="3"/>
    <x v="0"/>
    <x v="4"/>
    <x v="6"/>
    <x v="29"/>
    <n v="90"/>
    <n v="30"/>
    <n v="66"/>
    <n v="47"/>
    <n v="68"/>
    <x v="48"/>
    <x v="1"/>
    <s v="student071@example.com"/>
    <x v="70"/>
    <n v="27500"/>
    <x v="70"/>
  </r>
  <r>
    <x v="71"/>
    <x v="71"/>
    <n v="18"/>
    <s v="Female"/>
    <x v="2"/>
    <x v="1"/>
    <x v="5"/>
    <x v="7"/>
    <x v="30"/>
    <n v="35"/>
    <n v="43"/>
    <n v="83"/>
    <n v="66"/>
    <n v="77"/>
    <x v="39"/>
    <x v="0"/>
    <s v="student072@example.com"/>
    <x v="71"/>
    <n v="15000"/>
    <x v="71"/>
  </r>
  <r>
    <x v="72"/>
    <x v="72"/>
    <n v="19"/>
    <s v="Male"/>
    <x v="3"/>
    <x v="2"/>
    <x v="0"/>
    <x v="0"/>
    <x v="31"/>
    <n v="46"/>
    <n v="56"/>
    <n v="100"/>
    <n v="85"/>
    <n v="86"/>
    <x v="49"/>
    <x v="0"/>
    <s v="student073@example.com"/>
    <x v="72"/>
    <n v="17500"/>
    <x v="72"/>
  </r>
  <r>
    <x v="73"/>
    <x v="73"/>
    <n v="20"/>
    <s v="Female"/>
    <x v="2"/>
    <x v="3"/>
    <x v="1"/>
    <x v="1"/>
    <x v="32"/>
    <n v="57"/>
    <n v="69"/>
    <n v="48"/>
    <n v="43"/>
    <n v="95"/>
    <x v="40"/>
    <x v="0"/>
    <s v="student074@example.com"/>
    <x v="73"/>
    <n v="20000"/>
    <x v="73"/>
  </r>
  <r>
    <x v="74"/>
    <x v="74"/>
    <n v="21"/>
    <s v="Male"/>
    <x v="3"/>
    <x v="4"/>
    <x v="2"/>
    <x v="2"/>
    <x v="33"/>
    <n v="68"/>
    <n v="82"/>
    <n v="65"/>
    <n v="62"/>
    <n v="48"/>
    <x v="50"/>
    <x v="0"/>
    <s v="student075@example.com"/>
    <x v="74"/>
    <n v="22500"/>
    <x v="74"/>
  </r>
  <r>
    <x v="75"/>
    <x v="75"/>
    <n v="22"/>
    <s v="Female"/>
    <x v="2"/>
    <x v="0"/>
    <x v="3"/>
    <x v="3"/>
    <x v="34"/>
    <n v="79"/>
    <n v="95"/>
    <n v="82"/>
    <n v="81"/>
    <n v="57"/>
    <x v="51"/>
    <x v="0"/>
    <s v="student076@example.com"/>
    <x v="75"/>
    <n v="25000"/>
    <x v="75"/>
  </r>
  <r>
    <x v="76"/>
    <x v="76"/>
    <n v="23"/>
    <s v="Male"/>
    <x v="4"/>
    <x v="1"/>
    <x v="4"/>
    <x v="4"/>
    <x v="35"/>
    <n v="90"/>
    <n v="37"/>
    <n v="99"/>
    <n v="100"/>
    <n v="66"/>
    <x v="52"/>
    <x v="0"/>
    <s v="student077@example.com"/>
    <x v="76"/>
    <n v="27500"/>
    <x v="76"/>
  </r>
  <r>
    <x v="77"/>
    <x v="77"/>
    <n v="24"/>
    <s v="Female"/>
    <x v="5"/>
    <x v="2"/>
    <x v="5"/>
    <x v="5"/>
    <x v="36"/>
    <n v="35"/>
    <n v="50"/>
    <n v="47"/>
    <n v="58"/>
    <n v="75"/>
    <x v="53"/>
    <x v="0"/>
    <s v="student078@example.com"/>
    <x v="77"/>
    <n v="15000"/>
    <x v="77"/>
  </r>
  <r>
    <x v="78"/>
    <x v="78"/>
    <n v="25"/>
    <s v="Male"/>
    <x v="4"/>
    <x v="3"/>
    <x v="0"/>
    <x v="6"/>
    <x v="37"/>
    <n v="46"/>
    <n v="63"/>
    <n v="64"/>
    <n v="77"/>
    <n v="84"/>
    <x v="43"/>
    <x v="0"/>
    <s v="student079@example.com"/>
    <x v="78"/>
    <n v="17500"/>
    <x v="78"/>
  </r>
  <r>
    <x v="79"/>
    <x v="79"/>
    <n v="18"/>
    <s v="Female"/>
    <x v="5"/>
    <x v="4"/>
    <x v="1"/>
    <x v="7"/>
    <x v="38"/>
    <n v="57"/>
    <n v="76"/>
    <n v="81"/>
    <n v="96"/>
    <n v="93"/>
    <x v="44"/>
    <x v="0"/>
    <s v="student080@example.com"/>
    <x v="79"/>
    <n v="20000"/>
    <x v="79"/>
  </r>
  <r>
    <x v="80"/>
    <x v="80"/>
    <n v="19"/>
    <s v="Male"/>
    <x v="4"/>
    <x v="0"/>
    <x v="2"/>
    <x v="0"/>
    <x v="39"/>
    <n v="68"/>
    <n v="89"/>
    <n v="98"/>
    <n v="54"/>
    <n v="46"/>
    <x v="54"/>
    <x v="0"/>
    <s v="student081@example.com"/>
    <x v="80"/>
    <n v="22500"/>
    <x v="80"/>
  </r>
  <r>
    <x v="81"/>
    <x v="81"/>
    <n v="20"/>
    <s v="Female"/>
    <x v="5"/>
    <x v="1"/>
    <x v="3"/>
    <x v="1"/>
    <x v="40"/>
    <n v="79"/>
    <n v="31"/>
    <n v="46"/>
    <n v="73"/>
    <n v="55"/>
    <x v="55"/>
    <x v="1"/>
    <s v="student082@example.com"/>
    <x v="81"/>
    <n v="25000"/>
    <x v="81"/>
  </r>
  <r>
    <x v="82"/>
    <x v="82"/>
    <n v="21"/>
    <s v="Male"/>
    <x v="4"/>
    <x v="2"/>
    <x v="4"/>
    <x v="2"/>
    <x v="0"/>
    <n v="90"/>
    <n v="44"/>
    <n v="63"/>
    <n v="92"/>
    <n v="64"/>
    <x v="56"/>
    <x v="0"/>
    <s v="student083@example.com"/>
    <x v="82"/>
    <n v="27500"/>
    <x v="82"/>
  </r>
  <r>
    <x v="83"/>
    <x v="83"/>
    <n v="22"/>
    <s v="Female"/>
    <x v="1"/>
    <x v="3"/>
    <x v="5"/>
    <x v="3"/>
    <x v="1"/>
    <n v="35"/>
    <n v="57"/>
    <n v="80"/>
    <n v="50"/>
    <n v="73"/>
    <x v="46"/>
    <x v="0"/>
    <s v="student084@example.com"/>
    <x v="83"/>
    <n v="15000"/>
    <x v="83"/>
  </r>
  <r>
    <x v="84"/>
    <x v="84"/>
    <n v="23"/>
    <s v="Male"/>
    <x v="0"/>
    <x v="4"/>
    <x v="0"/>
    <x v="4"/>
    <x v="2"/>
    <n v="46"/>
    <n v="70"/>
    <n v="97"/>
    <n v="69"/>
    <n v="82"/>
    <x v="47"/>
    <x v="0"/>
    <s v="student085@example.com"/>
    <x v="84"/>
    <n v="17500"/>
    <x v="84"/>
  </r>
  <r>
    <x v="85"/>
    <x v="85"/>
    <n v="24"/>
    <s v="Female"/>
    <x v="1"/>
    <x v="0"/>
    <x v="1"/>
    <x v="5"/>
    <x v="3"/>
    <n v="57"/>
    <n v="83"/>
    <n v="45"/>
    <n v="88"/>
    <n v="91"/>
    <x v="47"/>
    <x v="0"/>
    <s v="student086@example.com"/>
    <x v="85"/>
    <n v="20000"/>
    <x v="85"/>
  </r>
  <r>
    <x v="86"/>
    <x v="86"/>
    <n v="25"/>
    <s v="Male"/>
    <x v="0"/>
    <x v="1"/>
    <x v="2"/>
    <x v="6"/>
    <x v="4"/>
    <n v="68"/>
    <n v="96"/>
    <n v="62"/>
    <n v="46"/>
    <n v="100"/>
    <x v="57"/>
    <x v="0"/>
    <s v="student087@example.com"/>
    <x v="86"/>
    <n v="22500"/>
    <x v="86"/>
  </r>
  <r>
    <x v="87"/>
    <x v="87"/>
    <n v="18"/>
    <s v="Female"/>
    <x v="1"/>
    <x v="2"/>
    <x v="3"/>
    <x v="7"/>
    <x v="5"/>
    <n v="79"/>
    <n v="38"/>
    <n v="79"/>
    <n v="65"/>
    <n v="53"/>
    <x v="58"/>
    <x v="0"/>
    <s v="student088@example.com"/>
    <x v="87"/>
    <n v="25000"/>
    <x v="87"/>
  </r>
  <r>
    <x v="88"/>
    <x v="88"/>
    <n v="19"/>
    <s v="Male"/>
    <x v="0"/>
    <x v="3"/>
    <x v="4"/>
    <x v="0"/>
    <x v="6"/>
    <n v="90"/>
    <n v="51"/>
    <n v="96"/>
    <n v="84"/>
    <n v="62"/>
    <x v="59"/>
    <x v="0"/>
    <s v="student089@example.com"/>
    <x v="88"/>
    <n v="27500"/>
    <x v="88"/>
  </r>
  <r>
    <x v="89"/>
    <x v="89"/>
    <n v="20"/>
    <s v="Female"/>
    <x v="1"/>
    <x v="4"/>
    <x v="5"/>
    <x v="1"/>
    <x v="7"/>
    <n v="35"/>
    <n v="64"/>
    <n v="44"/>
    <n v="42"/>
    <n v="71"/>
    <x v="60"/>
    <x v="0"/>
    <s v="student090@example.com"/>
    <x v="89"/>
    <n v="15000"/>
    <x v="89"/>
  </r>
  <r>
    <x v="90"/>
    <x v="90"/>
    <n v="21"/>
    <s v="Male"/>
    <x v="2"/>
    <x v="0"/>
    <x v="0"/>
    <x v="2"/>
    <x v="8"/>
    <n v="46"/>
    <n v="77"/>
    <n v="61"/>
    <n v="61"/>
    <n v="80"/>
    <x v="50"/>
    <x v="0"/>
    <s v="student091@example.com"/>
    <x v="90"/>
    <n v="17500"/>
    <x v="90"/>
  </r>
  <r>
    <x v="91"/>
    <x v="91"/>
    <n v="22"/>
    <s v="Female"/>
    <x v="3"/>
    <x v="1"/>
    <x v="1"/>
    <x v="3"/>
    <x v="9"/>
    <n v="57"/>
    <n v="90"/>
    <n v="78"/>
    <n v="80"/>
    <n v="89"/>
    <x v="51"/>
    <x v="0"/>
    <s v="student092@example.com"/>
    <x v="91"/>
    <n v="20000"/>
    <x v="91"/>
  </r>
  <r>
    <x v="92"/>
    <x v="92"/>
    <n v="23"/>
    <s v="Male"/>
    <x v="2"/>
    <x v="2"/>
    <x v="2"/>
    <x v="4"/>
    <x v="10"/>
    <n v="68"/>
    <n v="32"/>
    <n v="95"/>
    <n v="99"/>
    <n v="98"/>
    <x v="52"/>
    <x v="1"/>
    <s v="student093@example.com"/>
    <x v="92"/>
    <n v="22500"/>
    <x v="92"/>
  </r>
  <r>
    <x v="93"/>
    <x v="93"/>
    <n v="24"/>
    <s v="Female"/>
    <x v="3"/>
    <x v="3"/>
    <x v="3"/>
    <x v="5"/>
    <x v="11"/>
    <n v="79"/>
    <n v="45"/>
    <n v="43"/>
    <n v="57"/>
    <n v="51"/>
    <x v="61"/>
    <x v="0"/>
    <s v="student094@example.com"/>
    <x v="93"/>
    <n v="25000"/>
    <x v="93"/>
  </r>
  <r>
    <x v="94"/>
    <x v="94"/>
    <n v="25"/>
    <s v="Male"/>
    <x v="2"/>
    <x v="4"/>
    <x v="4"/>
    <x v="6"/>
    <x v="12"/>
    <n v="90"/>
    <n v="58"/>
    <n v="60"/>
    <n v="76"/>
    <n v="60"/>
    <x v="62"/>
    <x v="0"/>
    <s v="student095@example.com"/>
    <x v="94"/>
    <n v="27500"/>
    <x v="94"/>
  </r>
  <r>
    <x v="95"/>
    <x v="95"/>
    <n v="18"/>
    <s v="Female"/>
    <x v="3"/>
    <x v="0"/>
    <x v="5"/>
    <x v="7"/>
    <x v="13"/>
    <n v="35"/>
    <n v="71"/>
    <n v="77"/>
    <n v="95"/>
    <n v="69"/>
    <x v="18"/>
    <x v="0"/>
    <s v="student096@example.com"/>
    <x v="95"/>
    <n v="15000"/>
    <x v="95"/>
  </r>
  <r>
    <x v="96"/>
    <x v="96"/>
    <n v="19"/>
    <s v="Male"/>
    <x v="2"/>
    <x v="1"/>
    <x v="0"/>
    <x v="0"/>
    <x v="14"/>
    <n v="46"/>
    <n v="84"/>
    <n v="94"/>
    <n v="53"/>
    <n v="78"/>
    <x v="54"/>
    <x v="0"/>
    <s v="student097@example.com"/>
    <x v="96"/>
    <n v="17500"/>
    <x v="96"/>
  </r>
  <r>
    <x v="97"/>
    <x v="97"/>
    <n v="20"/>
    <s v="Female"/>
    <x v="4"/>
    <x v="2"/>
    <x v="1"/>
    <x v="1"/>
    <x v="15"/>
    <n v="57"/>
    <n v="97"/>
    <n v="42"/>
    <n v="72"/>
    <n v="87"/>
    <x v="54"/>
    <x v="0"/>
    <s v="student098@example.com"/>
    <x v="97"/>
    <n v="20000"/>
    <x v="97"/>
  </r>
  <r>
    <x v="98"/>
    <x v="98"/>
    <n v="21"/>
    <s v="Male"/>
    <x v="5"/>
    <x v="3"/>
    <x v="2"/>
    <x v="2"/>
    <x v="16"/>
    <n v="68"/>
    <n v="39"/>
    <n v="59"/>
    <n v="91"/>
    <n v="96"/>
    <x v="56"/>
    <x v="0"/>
    <s v="student099@example.com"/>
    <x v="98"/>
    <n v="22500"/>
    <x v="98"/>
  </r>
  <r>
    <x v="99"/>
    <x v="99"/>
    <n v="22"/>
    <s v="Female"/>
    <x v="4"/>
    <x v="4"/>
    <x v="3"/>
    <x v="3"/>
    <x v="17"/>
    <n v="79"/>
    <n v="52"/>
    <n v="76"/>
    <n v="49"/>
    <n v="49"/>
    <x v="63"/>
    <x v="0"/>
    <s v="student100@example.com"/>
    <x v="99"/>
    <n v="25000"/>
    <x v="99"/>
  </r>
  <r>
    <x v="100"/>
    <x v="100"/>
    <n v="23"/>
    <s v="Male"/>
    <x v="5"/>
    <x v="0"/>
    <x v="4"/>
    <x v="4"/>
    <x v="18"/>
    <n v="90"/>
    <n v="65"/>
    <n v="93"/>
    <n v="68"/>
    <n v="58"/>
    <x v="64"/>
    <x v="0"/>
    <s v="student101@example.com"/>
    <x v="100"/>
    <n v="27500"/>
    <x v="100"/>
  </r>
  <r>
    <x v="101"/>
    <x v="101"/>
    <n v="24"/>
    <s v="Female"/>
    <x v="4"/>
    <x v="1"/>
    <x v="5"/>
    <x v="5"/>
    <x v="19"/>
    <n v="35"/>
    <n v="78"/>
    <n v="41"/>
    <n v="87"/>
    <n v="67"/>
    <x v="23"/>
    <x v="0"/>
    <s v="student102@example.com"/>
    <x v="101"/>
    <n v="15000"/>
    <x v="101"/>
  </r>
  <r>
    <x v="102"/>
    <x v="102"/>
    <n v="25"/>
    <s v="Male"/>
    <x v="5"/>
    <x v="2"/>
    <x v="0"/>
    <x v="6"/>
    <x v="20"/>
    <n v="46"/>
    <n v="91"/>
    <n v="58"/>
    <n v="45"/>
    <n v="76"/>
    <x v="65"/>
    <x v="0"/>
    <s v="student103@example.com"/>
    <x v="102"/>
    <n v="17500"/>
    <x v="102"/>
  </r>
  <r>
    <x v="103"/>
    <x v="103"/>
    <n v="18"/>
    <s v="Female"/>
    <x v="4"/>
    <x v="3"/>
    <x v="1"/>
    <x v="7"/>
    <x v="21"/>
    <n v="57"/>
    <n v="33"/>
    <n v="75"/>
    <n v="64"/>
    <n v="85"/>
    <x v="58"/>
    <x v="1"/>
    <s v="student104@example.com"/>
    <x v="103"/>
    <n v="20000"/>
    <x v="103"/>
  </r>
  <r>
    <x v="104"/>
    <x v="104"/>
    <n v="19"/>
    <s v="Male"/>
    <x v="1"/>
    <x v="4"/>
    <x v="2"/>
    <x v="0"/>
    <x v="22"/>
    <n v="68"/>
    <n v="46"/>
    <n v="92"/>
    <n v="83"/>
    <n v="94"/>
    <x v="59"/>
    <x v="0"/>
    <s v="student105@example.com"/>
    <x v="104"/>
    <n v="22500"/>
    <x v="104"/>
  </r>
  <r>
    <x v="105"/>
    <x v="105"/>
    <n v="20"/>
    <s v="Female"/>
    <x v="0"/>
    <x v="0"/>
    <x v="3"/>
    <x v="1"/>
    <x v="23"/>
    <n v="79"/>
    <n v="59"/>
    <n v="40"/>
    <n v="41"/>
    <n v="47"/>
    <x v="66"/>
    <x v="0"/>
    <s v="student106@example.com"/>
    <x v="105"/>
    <n v="25000"/>
    <x v="105"/>
  </r>
  <r>
    <x v="106"/>
    <x v="106"/>
    <n v="21"/>
    <s v="Male"/>
    <x v="1"/>
    <x v="1"/>
    <x v="4"/>
    <x v="2"/>
    <x v="24"/>
    <n v="90"/>
    <n v="72"/>
    <n v="57"/>
    <n v="60"/>
    <n v="56"/>
    <x v="67"/>
    <x v="0"/>
    <s v="student107@example.com"/>
    <x v="106"/>
    <n v="27500"/>
    <x v="106"/>
  </r>
  <r>
    <x v="107"/>
    <x v="107"/>
    <n v="22"/>
    <s v="Female"/>
    <x v="0"/>
    <x v="2"/>
    <x v="5"/>
    <x v="3"/>
    <x v="25"/>
    <n v="35"/>
    <n v="85"/>
    <n v="74"/>
    <n v="79"/>
    <n v="65"/>
    <x v="68"/>
    <x v="0"/>
    <s v="student108@example.com"/>
    <x v="107"/>
    <n v="15000"/>
    <x v="107"/>
  </r>
  <r>
    <x v="108"/>
    <x v="108"/>
    <n v="23"/>
    <s v="Male"/>
    <x v="1"/>
    <x v="3"/>
    <x v="0"/>
    <x v="4"/>
    <x v="26"/>
    <n v="46"/>
    <n v="98"/>
    <n v="91"/>
    <n v="98"/>
    <n v="74"/>
    <x v="69"/>
    <x v="0"/>
    <s v="student109@example.com"/>
    <x v="108"/>
    <n v="17500"/>
    <x v="108"/>
  </r>
  <r>
    <x v="109"/>
    <x v="109"/>
    <n v="24"/>
    <s v="Female"/>
    <x v="0"/>
    <x v="4"/>
    <x v="1"/>
    <x v="5"/>
    <x v="27"/>
    <n v="57"/>
    <n v="40"/>
    <n v="39"/>
    <n v="56"/>
    <n v="83"/>
    <x v="61"/>
    <x v="0"/>
    <s v="student110@example.com"/>
    <x v="109"/>
    <n v="20000"/>
    <x v="109"/>
  </r>
  <r>
    <x v="110"/>
    <x v="110"/>
    <n v="25"/>
    <s v="Male"/>
    <x v="1"/>
    <x v="0"/>
    <x v="2"/>
    <x v="6"/>
    <x v="28"/>
    <n v="68"/>
    <n v="53"/>
    <n v="56"/>
    <n v="75"/>
    <n v="92"/>
    <x v="62"/>
    <x v="0"/>
    <s v="student111@example.com"/>
    <x v="110"/>
    <n v="22500"/>
    <x v="110"/>
  </r>
  <r>
    <x v="111"/>
    <x v="111"/>
    <n v="18"/>
    <s v="Female"/>
    <x v="2"/>
    <x v="1"/>
    <x v="3"/>
    <x v="7"/>
    <x v="29"/>
    <n v="79"/>
    <n v="66"/>
    <n v="73"/>
    <n v="94"/>
    <n v="45"/>
    <x v="70"/>
    <x v="0"/>
    <s v="student112@example.com"/>
    <x v="111"/>
    <n v="25000"/>
    <x v="111"/>
  </r>
  <r>
    <x v="112"/>
    <x v="112"/>
    <n v="19"/>
    <s v="Male"/>
    <x v="3"/>
    <x v="2"/>
    <x v="4"/>
    <x v="0"/>
    <x v="30"/>
    <n v="90"/>
    <n v="79"/>
    <n v="90"/>
    <n v="52"/>
    <n v="54"/>
    <x v="71"/>
    <x v="0"/>
    <s v="student113@example.com"/>
    <x v="112"/>
    <n v="27500"/>
    <x v="112"/>
  </r>
  <r>
    <x v="113"/>
    <x v="113"/>
    <n v="20"/>
    <s v="Female"/>
    <x v="2"/>
    <x v="3"/>
    <x v="5"/>
    <x v="1"/>
    <x v="31"/>
    <n v="35"/>
    <n v="92"/>
    <n v="38"/>
    <n v="71"/>
    <n v="63"/>
    <x v="72"/>
    <x v="0"/>
    <s v="student114@example.com"/>
    <x v="113"/>
    <n v="15000"/>
    <x v="113"/>
  </r>
  <r>
    <x v="114"/>
    <x v="114"/>
    <n v="21"/>
    <s v="Male"/>
    <x v="3"/>
    <x v="4"/>
    <x v="0"/>
    <x v="2"/>
    <x v="32"/>
    <n v="46"/>
    <n v="34"/>
    <n v="55"/>
    <n v="90"/>
    <n v="72"/>
    <x v="73"/>
    <x v="1"/>
    <s v="student115@example.com"/>
    <x v="114"/>
    <n v="17500"/>
    <x v="114"/>
  </r>
  <r>
    <x v="115"/>
    <x v="115"/>
    <n v="22"/>
    <s v="Female"/>
    <x v="2"/>
    <x v="0"/>
    <x v="1"/>
    <x v="3"/>
    <x v="33"/>
    <n v="57"/>
    <n v="47"/>
    <n v="72"/>
    <n v="48"/>
    <n v="81"/>
    <x v="63"/>
    <x v="0"/>
    <s v="student116@example.com"/>
    <x v="115"/>
    <n v="20000"/>
    <x v="115"/>
  </r>
  <r>
    <x v="116"/>
    <x v="116"/>
    <n v="23"/>
    <s v="Male"/>
    <x v="3"/>
    <x v="1"/>
    <x v="2"/>
    <x v="4"/>
    <x v="34"/>
    <n v="68"/>
    <n v="60"/>
    <n v="89"/>
    <n v="67"/>
    <n v="90"/>
    <x v="64"/>
    <x v="0"/>
    <s v="student117@example.com"/>
    <x v="116"/>
    <n v="22500"/>
    <x v="116"/>
  </r>
  <r>
    <x v="117"/>
    <x v="117"/>
    <n v="24"/>
    <s v="Female"/>
    <x v="2"/>
    <x v="2"/>
    <x v="3"/>
    <x v="5"/>
    <x v="35"/>
    <n v="79"/>
    <n v="73"/>
    <n v="37"/>
    <n v="86"/>
    <n v="99"/>
    <x v="64"/>
    <x v="0"/>
    <s v="student118@example.com"/>
    <x v="117"/>
    <n v="25000"/>
    <x v="117"/>
  </r>
  <r>
    <x v="118"/>
    <x v="118"/>
    <n v="25"/>
    <s v="Male"/>
    <x v="4"/>
    <x v="3"/>
    <x v="4"/>
    <x v="6"/>
    <x v="36"/>
    <n v="90"/>
    <n v="86"/>
    <n v="54"/>
    <n v="44"/>
    <n v="52"/>
    <x v="74"/>
    <x v="0"/>
    <s v="student119@example.com"/>
    <x v="118"/>
    <n v="27500"/>
    <x v="118"/>
  </r>
  <r>
    <x v="119"/>
    <x v="119"/>
    <n v="18"/>
    <s v="Female"/>
    <x v="5"/>
    <x v="4"/>
    <x v="5"/>
    <x v="7"/>
    <x v="37"/>
    <n v="35"/>
    <n v="99"/>
    <n v="71"/>
    <n v="63"/>
    <n v="61"/>
    <x v="4"/>
    <x v="0"/>
    <s v="student120@example.com"/>
    <x v="119"/>
    <n v="15000"/>
    <x v="11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
  <r>
    <n v="1001"/>
    <s v="Aarav Sharma"/>
    <n v="19"/>
    <s v="Male"/>
    <s v="BMS"/>
    <s v="Commerce"/>
    <n v="2"/>
    <s v="Pune"/>
    <n v="67"/>
    <n v="46"/>
    <n v="43"/>
    <n v="49"/>
    <n v="59"/>
    <n v="54"/>
    <n v="50.2"/>
    <s v="Pass"/>
    <s v="student001@example.com"/>
    <s v="STU0001"/>
    <n v="17500"/>
    <d v="2022-06-24T00:00:00"/>
  </r>
  <r>
    <n v="1002"/>
    <s v="Aditi Patel"/>
    <n v="20"/>
    <s v="Female"/>
    <s v="BSc IT"/>
    <s v="Arts"/>
    <n v="3"/>
    <s v="Dombivli"/>
    <n v="74"/>
    <n v="57"/>
    <n v="56"/>
    <n v="66"/>
    <n v="78"/>
    <n v="63"/>
    <n v="64"/>
    <s v="Pass"/>
    <s v="student002@example.com"/>
    <s v="STU0002"/>
    <n v="20000"/>
    <d v="2022-07-17T00:00:00"/>
  </r>
  <r>
    <n v="1003"/>
    <s v="Akash Mehta"/>
    <n v="21"/>
    <s v="Male"/>
    <s v="BMS"/>
    <s v="Computer Science"/>
    <n v="4"/>
    <s v="Thane"/>
    <n v="81"/>
    <n v="68"/>
    <n v="69"/>
    <n v="83"/>
    <n v="97"/>
    <n v="72"/>
    <n v="77.8"/>
    <s v="Pass"/>
    <s v="student003@example.com"/>
    <s v="STU0003"/>
    <n v="22500"/>
    <d v="2022-08-09T00:00:00"/>
  </r>
  <r>
    <n v="1004"/>
    <s v="Ananya Desai"/>
    <n v="22"/>
    <s v="Female"/>
    <s v="BSc IT"/>
    <s v="Management"/>
    <n v="5"/>
    <s v="Vasai"/>
    <n v="88"/>
    <n v="79"/>
    <n v="82"/>
    <n v="100"/>
    <n v="55"/>
    <n v="81"/>
    <n v="79.400000000000006"/>
    <s v="Pass"/>
    <s v="student004@example.com"/>
    <s v="STU0004"/>
    <n v="25000"/>
    <d v="2022-09-01T00:00:00"/>
  </r>
  <r>
    <n v="1005"/>
    <s v="Arjun Joshi"/>
    <n v="23"/>
    <s v="Male"/>
    <s v="BMS"/>
    <s v="IT"/>
    <n v="6"/>
    <s v="Panvel"/>
    <n v="95"/>
    <n v="90"/>
    <n v="95"/>
    <n v="48"/>
    <n v="74"/>
    <n v="90"/>
    <n v="79.400000000000006"/>
    <s v="Pass"/>
    <s v="student005@example.com"/>
    <s v="STU0005"/>
    <n v="27500"/>
    <d v="2022-09-24T00:00:00"/>
  </r>
  <r>
    <n v="1006"/>
    <s v="Diya Shah"/>
    <n v="24"/>
    <s v="Female"/>
    <s v="BSc IT"/>
    <s v="Commerce"/>
    <n v="1"/>
    <s v="Navi Mumbai"/>
    <n v="61"/>
    <n v="35"/>
    <n v="37"/>
    <n v="65"/>
    <n v="93"/>
    <n v="99"/>
    <n v="65.8"/>
    <s v="Pass"/>
    <s v="student006@example.com"/>
    <s v="STU0006"/>
    <n v="15000"/>
    <d v="2022-10-17T00:00:00"/>
  </r>
  <r>
    <n v="1007"/>
    <s v="Ishaan Kulkarni"/>
    <n v="25"/>
    <s v="Male"/>
    <s v="BA"/>
    <s v="Arts"/>
    <n v="2"/>
    <s v="Kalyan"/>
    <n v="68"/>
    <n v="46"/>
    <n v="50"/>
    <n v="82"/>
    <n v="51"/>
    <n v="52"/>
    <n v="56.2"/>
    <s v="Pass"/>
    <s v="student007@example.com"/>
    <s v="STU0007"/>
    <n v="17500"/>
    <d v="2022-11-09T00:00:00"/>
  </r>
  <r>
    <n v="1008"/>
    <s v="Kavya Nair"/>
    <n v="18"/>
    <s v="Female"/>
    <s v="BCA"/>
    <s v="Computer Science"/>
    <n v="3"/>
    <s v="Mumbai"/>
    <n v="75"/>
    <n v="57"/>
    <n v="63"/>
    <n v="99"/>
    <n v="70"/>
    <n v="61"/>
    <n v="70"/>
    <s v="Pass"/>
    <s v="student008@example.com"/>
    <s v="STU0008"/>
    <n v="20000"/>
    <d v="2022-12-02T00:00:00"/>
  </r>
  <r>
    <n v="1009"/>
    <s v="Krish Gupta"/>
    <n v="19"/>
    <s v="Male"/>
    <s v="BA"/>
    <s v="Management"/>
    <n v="4"/>
    <s v="Pune"/>
    <n v="82"/>
    <n v="68"/>
    <n v="76"/>
    <n v="47"/>
    <n v="89"/>
    <n v="70"/>
    <n v="70"/>
    <s v="Pass"/>
    <s v="student009@example.com"/>
    <s v="STU0009"/>
    <n v="22500"/>
    <d v="2022-12-25T00:00:00"/>
  </r>
  <r>
    <n v="1010"/>
    <s v="Meera Rao"/>
    <n v="20"/>
    <s v="Female"/>
    <s v="BCA"/>
    <s v="IT"/>
    <n v="5"/>
    <s v="Dombivli"/>
    <n v="89"/>
    <n v="79"/>
    <n v="89"/>
    <n v="64"/>
    <n v="47"/>
    <n v="79"/>
    <n v="71.599999999999994"/>
    <s v="Pass"/>
    <s v="student010@example.com"/>
    <s v="STU0010"/>
    <n v="25000"/>
    <d v="2023-01-17T00:00:00"/>
  </r>
  <r>
    <n v="1011"/>
    <s v="Neha Iyer"/>
    <n v="21"/>
    <s v="Male"/>
    <s v="BA"/>
    <s v="Commerce"/>
    <n v="6"/>
    <s v="Thane"/>
    <n v="96"/>
    <n v="90"/>
    <n v="31"/>
    <n v="81"/>
    <n v="66"/>
    <n v="88"/>
    <n v="71.2"/>
    <s v="Needs Improvement"/>
    <s v="student011@example.com"/>
    <s v="STU0011"/>
    <n v="27500"/>
    <d v="2023-02-09T00:00:00"/>
  </r>
  <r>
    <n v="1012"/>
    <s v="Om Singh"/>
    <n v="22"/>
    <s v="Female"/>
    <s v="BCA"/>
    <s v="Arts"/>
    <n v="1"/>
    <s v="Vasai"/>
    <n v="62"/>
    <n v="35"/>
    <n v="44"/>
    <n v="98"/>
    <n v="85"/>
    <n v="97"/>
    <n v="71.8"/>
    <s v="Pass"/>
    <s v="student012@example.com"/>
    <s v="STU0012"/>
    <n v="15000"/>
    <d v="2023-03-04T00:00:00"/>
  </r>
  <r>
    <n v="1013"/>
    <s v="Priya More"/>
    <n v="23"/>
    <s v="Male"/>
    <s v="BA"/>
    <s v="Computer Science"/>
    <n v="2"/>
    <s v="Panvel"/>
    <n v="69"/>
    <n v="46"/>
    <n v="57"/>
    <n v="46"/>
    <n v="43"/>
    <n v="50"/>
    <n v="48.4"/>
    <s v="Pass"/>
    <s v="student013@example.com"/>
    <s v="STU0013"/>
    <n v="17500"/>
    <d v="2023-03-27T00:00:00"/>
  </r>
  <r>
    <n v="1014"/>
    <s v="Rahul Verma"/>
    <n v="24"/>
    <s v="Female"/>
    <s v="BCom"/>
    <s v="Management"/>
    <n v="3"/>
    <s v="Navi Mumbai"/>
    <n v="76"/>
    <n v="57"/>
    <n v="70"/>
    <n v="63"/>
    <n v="62"/>
    <n v="59"/>
    <n v="62.2"/>
    <s v="Pass"/>
    <s v="student014@example.com"/>
    <s v="STU0014"/>
    <n v="20000"/>
    <d v="2023-04-19T00:00:00"/>
  </r>
  <r>
    <n v="1015"/>
    <s v="Riya Khan"/>
    <n v="25"/>
    <s v="Male"/>
    <s v="BSc Computer Science"/>
    <s v="IT"/>
    <n v="4"/>
    <s v="Kalyan"/>
    <n v="83"/>
    <n v="68"/>
    <n v="83"/>
    <n v="80"/>
    <n v="81"/>
    <n v="68"/>
    <n v="76"/>
    <s v="Pass"/>
    <s v="student015@example.com"/>
    <s v="STU0015"/>
    <n v="22500"/>
    <d v="2023-05-12T00:00:00"/>
  </r>
  <r>
    <n v="1016"/>
    <s v="Saanvi Pawar"/>
    <n v="18"/>
    <s v="Female"/>
    <s v="BCom"/>
    <s v="Commerce"/>
    <n v="5"/>
    <s v="Mumbai"/>
    <n v="90"/>
    <n v="79"/>
    <n v="96"/>
    <n v="97"/>
    <n v="100"/>
    <n v="77"/>
    <n v="89.8"/>
    <s v="Pass"/>
    <s v="student016@example.com"/>
    <s v="STU0016"/>
    <n v="25000"/>
    <d v="2023-06-04T00:00:00"/>
  </r>
  <r>
    <n v="1017"/>
    <s v="Tara Bhat"/>
    <n v="19"/>
    <s v="Male"/>
    <s v="BSc Computer Science"/>
    <s v="Arts"/>
    <n v="6"/>
    <s v="Pune"/>
    <n v="97"/>
    <n v="90"/>
    <n v="38"/>
    <n v="45"/>
    <n v="58"/>
    <n v="86"/>
    <n v="63.4"/>
    <s v="Pass"/>
    <s v="student017@example.com"/>
    <s v="STU0017"/>
    <n v="27500"/>
    <d v="2023-06-27T00:00:00"/>
  </r>
  <r>
    <n v="1018"/>
    <s v="Vivaan Menon"/>
    <n v="20"/>
    <s v="Female"/>
    <s v="BCom"/>
    <s v="Computer Science"/>
    <n v="1"/>
    <s v="Dombivli"/>
    <n v="63"/>
    <n v="35"/>
    <n v="51"/>
    <n v="62"/>
    <n v="77"/>
    <n v="95"/>
    <n v="64"/>
    <s v="Pass"/>
    <s v="student018@example.com"/>
    <s v="STU0018"/>
    <n v="15000"/>
    <d v="2023-07-20T00:00:00"/>
  </r>
  <r>
    <n v="1019"/>
    <s v="Yash Sawant"/>
    <n v="21"/>
    <s v="Male"/>
    <s v="BSc Computer Science"/>
    <s v="Management"/>
    <n v="2"/>
    <s v="Thane"/>
    <n v="70"/>
    <n v="46"/>
    <n v="64"/>
    <n v="79"/>
    <n v="96"/>
    <n v="48"/>
    <n v="66.599999999999994"/>
    <s v="Pass"/>
    <s v="student019@example.com"/>
    <s v="STU0019"/>
    <n v="17500"/>
    <d v="2023-08-12T00:00:00"/>
  </r>
  <r>
    <n v="1020"/>
    <s v="Zoya Thakur"/>
    <n v="22"/>
    <s v="Female"/>
    <s v="BCom"/>
    <s v="IT"/>
    <n v="3"/>
    <s v="Vasai"/>
    <n v="77"/>
    <n v="57"/>
    <n v="77"/>
    <n v="96"/>
    <n v="54"/>
    <n v="57"/>
    <n v="68.2"/>
    <s v="Pass"/>
    <s v="student020@example.com"/>
    <s v="STU0020"/>
    <n v="20000"/>
    <d v="2023-09-04T00:00:00"/>
  </r>
  <r>
    <n v="1021"/>
    <s v="Aarav Patel"/>
    <n v="23"/>
    <s v="Male"/>
    <s v="BSc IT"/>
    <s v="Commerce"/>
    <n v="4"/>
    <s v="Panvel"/>
    <n v="84"/>
    <n v="68"/>
    <n v="90"/>
    <n v="44"/>
    <n v="73"/>
    <n v="66"/>
    <n v="68.2"/>
    <s v="Pass"/>
    <s v="student021@example.com"/>
    <s v="STU0021"/>
    <n v="22500"/>
    <d v="2023-09-27T00:00:00"/>
  </r>
  <r>
    <n v="1022"/>
    <s v="Aditi Mehta"/>
    <n v="24"/>
    <s v="Female"/>
    <s v="BMS"/>
    <s v="Arts"/>
    <n v="5"/>
    <s v="Navi Mumbai"/>
    <n v="91"/>
    <n v="79"/>
    <n v="32"/>
    <n v="61"/>
    <n v="92"/>
    <n v="75"/>
    <n v="67.8"/>
    <s v="Needs Improvement"/>
    <s v="student022@example.com"/>
    <s v="STU0022"/>
    <n v="25000"/>
    <d v="2023-10-20T00:00:00"/>
  </r>
  <r>
    <n v="1023"/>
    <s v="Akash Desai"/>
    <n v="25"/>
    <s v="Male"/>
    <s v="BSc IT"/>
    <s v="Computer Science"/>
    <n v="6"/>
    <s v="Kalyan"/>
    <n v="98"/>
    <n v="90"/>
    <n v="45"/>
    <n v="78"/>
    <n v="50"/>
    <n v="84"/>
    <n v="69.400000000000006"/>
    <s v="Pass"/>
    <s v="student023@example.com"/>
    <s v="STU0023"/>
    <n v="27500"/>
    <d v="2023-11-12T00:00:00"/>
  </r>
  <r>
    <n v="1024"/>
    <s v="Ananya Joshi"/>
    <n v="18"/>
    <s v="Female"/>
    <s v="BMS"/>
    <s v="Management"/>
    <n v="1"/>
    <s v="Mumbai"/>
    <n v="64"/>
    <n v="35"/>
    <n v="58"/>
    <n v="95"/>
    <n v="69"/>
    <n v="93"/>
    <n v="70"/>
    <s v="Pass"/>
    <s v="student024@example.com"/>
    <s v="STU0024"/>
    <n v="15000"/>
    <d v="2023-12-05T00:00:00"/>
  </r>
  <r>
    <n v="1025"/>
    <s v="Arjun Shah"/>
    <n v="19"/>
    <s v="Male"/>
    <s v="BSc IT"/>
    <s v="IT"/>
    <n v="2"/>
    <s v="Pune"/>
    <n v="71"/>
    <n v="46"/>
    <n v="71"/>
    <n v="43"/>
    <n v="88"/>
    <n v="46"/>
    <n v="58.8"/>
    <s v="Pass"/>
    <s v="student025@example.com"/>
    <s v="STU0025"/>
    <n v="17500"/>
    <d v="2023-12-28T00:00:00"/>
  </r>
  <r>
    <n v="1026"/>
    <s v="Diya Kulkarni"/>
    <n v="20"/>
    <s v="Female"/>
    <s v="BMS"/>
    <s v="Commerce"/>
    <n v="3"/>
    <s v="Dombivli"/>
    <n v="78"/>
    <n v="57"/>
    <n v="84"/>
    <n v="60"/>
    <n v="46"/>
    <n v="55"/>
    <n v="60.4"/>
    <s v="Pass"/>
    <s v="student026@example.com"/>
    <s v="STU0026"/>
    <n v="20000"/>
    <d v="2024-01-20T00:00:00"/>
  </r>
  <r>
    <n v="1027"/>
    <s v="Ishaan Nair"/>
    <n v="21"/>
    <s v="Male"/>
    <s v="BSc IT"/>
    <s v="Arts"/>
    <n v="4"/>
    <s v="Thane"/>
    <n v="85"/>
    <n v="68"/>
    <n v="97"/>
    <n v="77"/>
    <n v="65"/>
    <n v="64"/>
    <n v="74.2"/>
    <s v="Pass"/>
    <s v="student027@example.com"/>
    <s v="STU0027"/>
    <n v="22500"/>
    <d v="2024-02-12T00:00:00"/>
  </r>
  <r>
    <n v="1028"/>
    <s v="Kavya Gupta"/>
    <n v="22"/>
    <s v="Female"/>
    <s v="BA"/>
    <s v="Computer Science"/>
    <n v="5"/>
    <s v="Vasai"/>
    <n v="92"/>
    <n v="79"/>
    <n v="39"/>
    <n v="94"/>
    <n v="84"/>
    <n v="73"/>
    <n v="73.8"/>
    <s v="Pass"/>
    <s v="student028@example.com"/>
    <s v="STU0028"/>
    <n v="25000"/>
    <d v="2024-03-06T00:00:00"/>
  </r>
  <r>
    <n v="1029"/>
    <s v="Krish Rao"/>
    <n v="23"/>
    <s v="Male"/>
    <s v="BCA"/>
    <s v="Management"/>
    <n v="6"/>
    <s v="Panvel"/>
    <n v="99"/>
    <n v="90"/>
    <n v="52"/>
    <n v="42"/>
    <n v="42"/>
    <n v="82"/>
    <n v="61.6"/>
    <s v="Pass"/>
    <s v="student029@example.com"/>
    <s v="STU0029"/>
    <n v="27500"/>
    <d v="2024-03-29T00:00:00"/>
  </r>
  <r>
    <n v="1030"/>
    <s v="Meera Iyer"/>
    <n v="24"/>
    <s v="Female"/>
    <s v="BA"/>
    <s v="IT"/>
    <n v="1"/>
    <s v="Navi Mumbai"/>
    <n v="65"/>
    <n v="35"/>
    <n v="65"/>
    <n v="59"/>
    <n v="61"/>
    <n v="91"/>
    <n v="62.2"/>
    <s v="Pass"/>
    <s v="student030@example.com"/>
    <s v="STU0030"/>
    <n v="15000"/>
    <d v="2024-04-21T00:00:00"/>
  </r>
  <r>
    <n v="1031"/>
    <s v="Neha Singh"/>
    <n v="25"/>
    <s v="Male"/>
    <s v="BCA"/>
    <s v="Commerce"/>
    <n v="2"/>
    <s v="Kalyan"/>
    <n v="72"/>
    <n v="46"/>
    <n v="78"/>
    <n v="76"/>
    <n v="80"/>
    <n v="100"/>
    <n v="76"/>
    <s v="Pass"/>
    <s v="student031@example.com"/>
    <s v="STU0031"/>
    <n v="17500"/>
    <d v="2024-05-14T00:00:00"/>
  </r>
  <r>
    <n v="1032"/>
    <s v="Om More"/>
    <n v="18"/>
    <s v="Female"/>
    <s v="BA"/>
    <s v="Arts"/>
    <n v="3"/>
    <s v="Mumbai"/>
    <n v="79"/>
    <n v="57"/>
    <n v="91"/>
    <n v="93"/>
    <n v="99"/>
    <n v="53"/>
    <n v="78.599999999999994"/>
    <s v="Pass"/>
    <s v="student032@example.com"/>
    <s v="STU0032"/>
    <n v="20000"/>
    <d v="2024-06-06T00:00:00"/>
  </r>
  <r>
    <n v="1033"/>
    <s v="Priya Verma"/>
    <n v="19"/>
    <s v="Male"/>
    <s v="BCA"/>
    <s v="Computer Science"/>
    <n v="4"/>
    <s v="Pune"/>
    <n v="86"/>
    <n v="68"/>
    <n v="33"/>
    <n v="41"/>
    <n v="57"/>
    <n v="62"/>
    <n v="52.2"/>
    <s v="Needs Improvement"/>
    <s v="student033@example.com"/>
    <s v="STU0033"/>
    <n v="22500"/>
    <d v="2024-06-29T00:00:00"/>
  </r>
  <r>
    <n v="1034"/>
    <s v="Rahul Khan"/>
    <n v="20"/>
    <s v="Female"/>
    <s v="BA"/>
    <s v="Management"/>
    <n v="5"/>
    <s v="Dombivli"/>
    <n v="93"/>
    <n v="79"/>
    <n v="46"/>
    <n v="58"/>
    <n v="76"/>
    <n v="71"/>
    <n v="66"/>
    <s v="Pass"/>
    <s v="student034@example.com"/>
    <s v="STU0034"/>
    <n v="25000"/>
    <d v="2024-07-22T00:00:00"/>
  </r>
  <r>
    <n v="1035"/>
    <s v="Riya Pawar"/>
    <n v="21"/>
    <s v="Male"/>
    <s v="BCom"/>
    <s v="IT"/>
    <n v="6"/>
    <s v="Thane"/>
    <n v="100"/>
    <n v="90"/>
    <n v="59"/>
    <n v="75"/>
    <n v="95"/>
    <n v="80"/>
    <n v="79.8"/>
    <s v="Pass"/>
    <s v="student035@example.com"/>
    <s v="STU0035"/>
    <n v="27500"/>
    <d v="2024-08-14T00:00:00"/>
  </r>
  <r>
    <n v="1036"/>
    <s v="Saanvi Bhat"/>
    <n v="22"/>
    <s v="Female"/>
    <s v="BSc Computer Science"/>
    <s v="Commerce"/>
    <n v="1"/>
    <s v="Vasai"/>
    <n v="66"/>
    <n v="35"/>
    <n v="72"/>
    <n v="92"/>
    <n v="53"/>
    <n v="89"/>
    <n v="68.2"/>
    <s v="Pass"/>
    <s v="student036@example.com"/>
    <s v="STU0036"/>
    <n v="15000"/>
    <d v="2024-09-06T00:00:00"/>
  </r>
  <r>
    <n v="1037"/>
    <s v="Tara Menon"/>
    <n v="23"/>
    <s v="Male"/>
    <s v="BCom"/>
    <s v="Arts"/>
    <n v="2"/>
    <s v="Panvel"/>
    <n v="73"/>
    <n v="46"/>
    <n v="85"/>
    <n v="40"/>
    <n v="72"/>
    <n v="98"/>
    <n v="68.2"/>
    <s v="Pass"/>
    <s v="student037@example.com"/>
    <s v="STU0037"/>
    <n v="17500"/>
    <d v="2024-09-29T00:00:00"/>
  </r>
  <r>
    <n v="1038"/>
    <s v="Vivaan Sawant"/>
    <n v="24"/>
    <s v="Female"/>
    <s v="BSc Computer Science"/>
    <s v="Computer Science"/>
    <n v="3"/>
    <s v="Navi Mumbai"/>
    <n v="80"/>
    <n v="57"/>
    <n v="98"/>
    <n v="57"/>
    <n v="91"/>
    <n v="51"/>
    <n v="70.8"/>
    <s v="Pass"/>
    <s v="student038@example.com"/>
    <s v="STU0038"/>
    <n v="20000"/>
    <d v="2024-10-22T00:00:00"/>
  </r>
  <r>
    <n v="1039"/>
    <s v="Yash Thakur"/>
    <n v="25"/>
    <s v="Male"/>
    <s v="BCom"/>
    <s v="Management"/>
    <n v="4"/>
    <s v="Kalyan"/>
    <n v="87"/>
    <n v="68"/>
    <n v="40"/>
    <n v="74"/>
    <n v="49"/>
    <n v="60"/>
    <n v="58.2"/>
    <s v="Pass"/>
    <s v="student039@example.com"/>
    <s v="STU0039"/>
    <n v="22500"/>
    <d v="2024-11-14T00:00:00"/>
  </r>
  <r>
    <n v="1040"/>
    <s v="Zoya Sharma"/>
    <n v="18"/>
    <s v="Female"/>
    <s v="BSc Computer Science"/>
    <s v="IT"/>
    <n v="5"/>
    <s v="Mumbai"/>
    <n v="94"/>
    <n v="79"/>
    <n v="53"/>
    <n v="91"/>
    <n v="68"/>
    <n v="69"/>
    <n v="72"/>
    <s v="Pass"/>
    <s v="student040@example.com"/>
    <s v="STU0040"/>
    <n v="25000"/>
    <d v="2024-12-07T00:00:00"/>
  </r>
  <r>
    <n v="1041"/>
    <s v="Aarav Mehta"/>
    <n v="19"/>
    <s v="Male"/>
    <s v="BCom"/>
    <s v="Commerce"/>
    <n v="6"/>
    <s v="Pune"/>
    <n v="60"/>
    <n v="90"/>
    <n v="66"/>
    <n v="39"/>
    <n v="87"/>
    <n v="78"/>
    <n v="72"/>
    <s v="Pass"/>
    <s v="student041@example.com"/>
    <s v="STU0041"/>
    <n v="27500"/>
    <d v="2024-12-30T00:00:00"/>
  </r>
  <r>
    <n v="1042"/>
    <s v="Aditi Desai"/>
    <n v="20"/>
    <s v="Female"/>
    <s v="BSc IT"/>
    <s v="Arts"/>
    <n v="1"/>
    <s v="Dombivli"/>
    <n v="67"/>
    <n v="35"/>
    <n v="79"/>
    <n v="56"/>
    <n v="45"/>
    <n v="87"/>
    <n v="60.4"/>
    <s v="Pass"/>
    <s v="student042@example.com"/>
    <s v="STU0042"/>
    <n v="15000"/>
    <d v="2025-01-22T00:00:00"/>
  </r>
  <r>
    <n v="1043"/>
    <s v="Akash Joshi"/>
    <n v="21"/>
    <s v="Male"/>
    <s v="BMS"/>
    <s v="Computer Science"/>
    <n v="2"/>
    <s v="Thane"/>
    <n v="74"/>
    <n v="46"/>
    <n v="92"/>
    <n v="73"/>
    <n v="64"/>
    <n v="96"/>
    <n v="74.2"/>
    <s v="Pass"/>
    <s v="student043@example.com"/>
    <s v="STU0043"/>
    <n v="17500"/>
    <d v="2025-02-14T00:00:00"/>
  </r>
  <r>
    <n v="1044"/>
    <s v="Ananya Shah"/>
    <n v="22"/>
    <s v="Female"/>
    <s v="BSc IT"/>
    <s v="Management"/>
    <n v="3"/>
    <s v="Vasai"/>
    <n v="81"/>
    <n v="57"/>
    <n v="34"/>
    <n v="90"/>
    <n v="83"/>
    <n v="49"/>
    <n v="62.6"/>
    <s v="Needs Improvement"/>
    <s v="student044@example.com"/>
    <s v="STU0044"/>
    <n v="20000"/>
    <d v="2025-03-09T00:00:00"/>
  </r>
  <r>
    <n v="1045"/>
    <s v="Arjun Kulkarni"/>
    <n v="23"/>
    <s v="Male"/>
    <s v="BMS"/>
    <s v="IT"/>
    <n v="4"/>
    <s v="Panvel"/>
    <n v="88"/>
    <n v="68"/>
    <n v="47"/>
    <n v="38"/>
    <n v="41"/>
    <n v="58"/>
    <n v="50.4"/>
    <s v="Pass"/>
    <s v="student045@example.com"/>
    <s v="STU0045"/>
    <n v="22500"/>
    <d v="2025-04-01T00:00:00"/>
  </r>
  <r>
    <n v="1046"/>
    <s v="Diya Nair"/>
    <n v="24"/>
    <s v="Female"/>
    <s v="BSc IT"/>
    <s v="Commerce"/>
    <n v="5"/>
    <s v="Navi Mumbai"/>
    <n v="95"/>
    <n v="79"/>
    <n v="60"/>
    <n v="55"/>
    <n v="60"/>
    <n v="67"/>
    <n v="64.2"/>
    <s v="Pass"/>
    <s v="student046@example.com"/>
    <s v="STU0046"/>
    <n v="25000"/>
    <d v="2025-04-24T00:00:00"/>
  </r>
  <r>
    <n v="1047"/>
    <s v="Ishaan Gupta"/>
    <n v="25"/>
    <s v="Male"/>
    <s v="BMS"/>
    <s v="Arts"/>
    <n v="6"/>
    <s v="Kalyan"/>
    <n v="61"/>
    <n v="90"/>
    <n v="73"/>
    <n v="72"/>
    <n v="79"/>
    <n v="76"/>
    <n v="78"/>
    <s v="Pass"/>
    <s v="student047@example.com"/>
    <s v="STU0047"/>
    <n v="27500"/>
    <d v="2025-05-17T00:00:00"/>
  </r>
  <r>
    <n v="1048"/>
    <s v="Kavya Rao"/>
    <n v="18"/>
    <s v="Female"/>
    <s v="BSc IT"/>
    <s v="Computer Science"/>
    <n v="1"/>
    <s v="Mumbai"/>
    <n v="68"/>
    <n v="35"/>
    <n v="86"/>
    <n v="89"/>
    <n v="98"/>
    <n v="85"/>
    <n v="78.599999999999994"/>
    <s v="Pass"/>
    <s v="student048@example.com"/>
    <s v="STU0048"/>
    <n v="15000"/>
    <d v="2025-06-09T00:00:00"/>
  </r>
  <r>
    <n v="1049"/>
    <s v="Krish Iyer"/>
    <n v="19"/>
    <s v="Male"/>
    <s v="BA"/>
    <s v="Management"/>
    <n v="2"/>
    <s v="Pune"/>
    <n v="75"/>
    <n v="46"/>
    <n v="99"/>
    <n v="37"/>
    <n v="56"/>
    <n v="94"/>
    <n v="66.400000000000006"/>
    <s v="Pass"/>
    <s v="student049@example.com"/>
    <s v="STU0049"/>
    <n v="17500"/>
    <d v="2025-07-02T00:00:00"/>
  </r>
  <r>
    <n v="1050"/>
    <s v="Meera Singh"/>
    <n v="20"/>
    <s v="Female"/>
    <s v="BCA"/>
    <s v="IT"/>
    <n v="3"/>
    <s v="Dombivli"/>
    <n v="82"/>
    <n v="57"/>
    <n v="41"/>
    <n v="54"/>
    <n v="75"/>
    <n v="47"/>
    <n v="54.8"/>
    <s v="Pass"/>
    <s v="student050@example.com"/>
    <s v="STU0050"/>
    <n v="20000"/>
    <d v="2025-07-25T00:00:00"/>
  </r>
  <r>
    <n v="1051"/>
    <s v="Neha More"/>
    <n v="21"/>
    <s v="Male"/>
    <s v="BA"/>
    <s v="Commerce"/>
    <n v="4"/>
    <s v="Thane"/>
    <n v="89"/>
    <n v="68"/>
    <n v="54"/>
    <n v="71"/>
    <n v="94"/>
    <n v="56"/>
    <n v="68.599999999999994"/>
    <s v="Pass"/>
    <s v="student051@example.com"/>
    <s v="STU0051"/>
    <n v="22500"/>
    <d v="2025-08-17T00:00:00"/>
  </r>
  <r>
    <n v="1052"/>
    <s v="Om Verma"/>
    <n v="22"/>
    <s v="Female"/>
    <s v="BCA"/>
    <s v="Arts"/>
    <n v="5"/>
    <s v="Vasai"/>
    <n v="96"/>
    <n v="79"/>
    <n v="67"/>
    <n v="88"/>
    <n v="52"/>
    <n v="65"/>
    <n v="70.2"/>
    <s v="Pass"/>
    <s v="student052@example.com"/>
    <s v="STU0052"/>
    <n v="25000"/>
    <d v="2025-09-09T00:00:00"/>
  </r>
  <r>
    <n v="1053"/>
    <s v="Priya Khan"/>
    <n v="23"/>
    <s v="Male"/>
    <s v="BA"/>
    <s v="Computer Science"/>
    <n v="6"/>
    <s v="Panvel"/>
    <n v="62"/>
    <n v="90"/>
    <n v="80"/>
    <n v="36"/>
    <n v="71"/>
    <n v="74"/>
    <n v="70.2"/>
    <s v="Pass"/>
    <s v="student053@example.com"/>
    <s v="STU0053"/>
    <n v="27500"/>
    <d v="2025-10-02T00:00:00"/>
  </r>
  <r>
    <n v="1054"/>
    <s v="Rahul Pawar"/>
    <n v="24"/>
    <s v="Female"/>
    <s v="BCA"/>
    <s v="Management"/>
    <n v="1"/>
    <s v="Navi Mumbai"/>
    <n v="69"/>
    <n v="35"/>
    <n v="93"/>
    <n v="53"/>
    <n v="90"/>
    <n v="83"/>
    <n v="70.8"/>
    <s v="Pass"/>
    <s v="student054@example.com"/>
    <s v="STU0054"/>
    <n v="15000"/>
    <d v="2025-10-25T00:00:00"/>
  </r>
  <r>
    <n v="1055"/>
    <s v="Riya Bhat"/>
    <n v="25"/>
    <s v="Male"/>
    <s v="BA"/>
    <s v="IT"/>
    <n v="2"/>
    <s v="Kalyan"/>
    <n v="76"/>
    <n v="46"/>
    <n v="35"/>
    <n v="70"/>
    <n v="48"/>
    <n v="92"/>
    <n v="58.2"/>
    <s v="Pass"/>
    <s v="student055@example.com"/>
    <s v="STU0055"/>
    <n v="17500"/>
    <d v="2025-11-17T00:00:00"/>
  </r>
  <r>
    <n v="1056"/>
    <s v="Saanvi Menon"/>
    <n v="18"/>
    <s v="Female"/>
    <s v="BCom"/>
    <s v="Commerce"/>
    <n v="3"/>
    <s v="Mumbai"/>
    <n v="83"/>
    <n v="57"/>
    <n v="48"/>
    <n v="87"/>
    <n v="67"/>
    <n v="45"/>
    <n v="60.8"/>
    <s v="Pass"/>
    <s v="student056@example.com"/>
    <s v="STU0056"/>
    <n v="20000"/>
    <d v="2025-12-10T00:00:00"/>
  </r>
  <r>
    <n v="1057"/>
    <s v="Tara Sawant"/>
    <n v="19"/>
    <s v="Male"/>
    <s v="BSc Computer Science"/>
    <s v="Arts"/>
    <n v="4"/>
    <s v="Pune"/>
    <n v="90"/>
    <n v="68"/>
    <n v="61"/>
    <n v="35"/>
    <n v="86"/>
    <n v="54"/>
    <n v="60.8"/>
    <s v="Pass"/>
    <s v="student057@example.com"/>
    <s v="STU0057"/>
    <n v="22500"/>
    <d v="2026-01-02T00:00:00"/>
  </r>
  <r>
    <n v="1058"/>
    <s v="Vivaan Thakur"/>
    <n v="20"/>
    <s v="Female"/>
    <s v="BCom"/>
    <s v="Computer Science"/>
    <n v="5"/>
    <s v="Dombivli"/>
    <n v="97"/>
    <n v="79"/>
    <n v="74"/>
    <n v="52"/>
    <n v="44"/>
    <n v="63"/>
    <n v="62.4"/>
    <s v="Pass"/>
    <s v="student058@example.com"/>
    <s v="STU0058"/>
    <n v="25000"/>
    <d v="2026-01-25T00:00:00"/>
  </r>
  <r>
    <n v="1059"/>
    <s v="Yash Sharma"/>
    <n v="21"/>
    <s v="Male"/>
    <s v="BSc Computer Science"/>
    <s v="Management"/>
    <n v="6"/>
    <s v="Thane"/>
    <n v="63"/>
    <n v="90"/>
    <n v="87"/>
    <n v="69"/>
    <n v="63"/>
    <n v="72"/>
    <n v="76.2"/>
    <s v="Pass"/>
    <s v="student059@example.com"/>
    <s v="STU0059"/>
    <n v="27500"/>
    <d v="2026-02-17T00:00:00"/>
  </r>
  <r>
    <n v="1060"/>
    <s v="Zoya Patel"/>
    <n v="22"/>
    <s v="Female"/>
    <s v="BCom"/>
    <s v="IT"/>
    <n v="1"/>
    <s v="Vasai"/>
    <n v="70"/>
    <n v="35"/>
    <n v="100"/>
    <n v="86"/>
    <n v="82"/>
    <n v="81"/>
    <n v="76.8"/>
    <s v="Pass"/>
    <s v="student060@example.com"/>
    <s v="STU0060"/>
    <n v="15000"/>
    <d v="2026-03-12T00:00:00"/>
  </r>
  <r>
    <n v="1061"/>
    <s v="Aarav Desai"/>
    <n v="23"/>
    <s v="Male"/>
    <s v="BSc Computer Science"/>
    <s v="Commerce"/>
    <n v="2"/>
    <s v="Panvel"/>
    <n v="77"/>
    <n v="46"/>
    <n v="42"/>
    <n v="34"/>
    <n v="40"/>
    <n v="90"/>
    <n v="50.4"/>
    <s v="Needs Improvement"/>
    <s v="student061@example.com"/>
    <s v="STU0061"/>
    <n v="17500"/>
    <d v="2022-06-04T00:00:00"/>
  </r>
  <r>
    <n v="1062"/>
    <s v="Aditi Joshi"/>
    <n v="24"/>
    <s v="Female"/>
    <s v="BCom"/>
    <s v="Arts"/>
    <n v="3"/>
    <s v="Navi Mumbai"/>
    <n v="84"/>
    <n v="57"/>
    <n v="55"/>
    <n v="51"/>
    <n v="59"/>
    <n v="99"/>
    <n v="64.2"/>
    <s v="Pass"/>
    <s v="student062@example.com"/>
    <s v="STU0062"/>
    <n v="20000"/>
    <d v="2022-06-27T00:00:00"/>
  </r>
  <r>
    <n v="1063"/>
    <s v="Akash Shah"/>
    <n v="25"/>
    <s v="Male"/>
    <s v="BSc IT"/>
    <s v="Computer Science"/>
    <n v="4"/>
    <s v="Kalyan"/>
    <n v="91"/>
    <n v="68"/>
    <n v="68"/>
    <n v="68"/>
    <n v="78"/>
    <n v="52"/>
    <n v="66.8"/>
    <s v="Pass"/>
    <s v="student063@example.com"/>
    <s v="STU0063"/>
    <n v="22500"/>
    <d v="2022-07-20T00:00:00"/>
  </r>
  <r>
    <n v="1064"/>
    <s v="Ananya Kulkarni"/>
    <n v="18"/>
    <s v="Female"/>
    <s v="BMS"/>
    <s v="Management"/>
    <n v="5"/>
    <s v="Mumbai"/>
    <n v="98"/>
    <n v="79"/>
    <n v="81"/>
    <n v="85"/>
    <n v="97"/>
    <n v="61"/>
    <n v="80.599999999999994"/>
    <s v="Pass"/>
    <s v="student064@example.com"/>
    <s v="STU0064"/>
    <n v="25000"/>
    <d v="2022-08-12T00:00:00"/>
  </r>
  <r>
    <n v="1065"/>
    <s v="Arjun Nair"/>
    <n v="19"/>
    <s v="Male"/>
    <s v="BSc IT"/>
    <s v="IT"/>
    <n v="6"/>
    <s v="Pune"/>
    <n v="64"/>
    <n v="90"/>
    <n v="94"/>
    <n v="33"/>
    <n v="55"/>
    <n v="70"/>
    <n v="68.400000000000006"/>
    <s v="Needs Improvement"/>
    <s v="student065@example.com"/>
    <s v="STU0065"/>
    <n v="27500"/>
    <d v="2022-09-04T00:00:00"/>
  </r>
  <r>
    <n v="1066"/>
    <s v="Diya Gupta"/>
    <n v="20"/>
    <s v="Female"/>
    <s v="BMS"/>
    <s v="Commerce"/>
    <n v="1"/>
    <s v="Dombivli"/>
    <n v="71"/>
    <n v="35"/>
    <n v="36"/>
    <n v="50"/>
    <n v="74"/>
    <n v="79"/>
    <n v="54.8"/>
    <s v="Pass"/>
    <s v="student066@example.com"/>
    <s v="STU0066"/>
    <n v="15000"/>
    <d v="2022-09-27T00:00:00"/>
  </r>
  <r>
    <n v="1067"/>
    <s v="Ishaan Rao"/>
    <n v="21"/>
    <s v="Male"/>
    <s v="BSc IT"/>
    <s v="Arts"/>
    <n v="2"/>
    <s v="Thane"/>
    <n v="78"/>
    <n v="46"/>
    <n v="49"/>
    <n v="67"/>
    <n v="93"/>
    <n v="88"/>
    <n v="68.599999999999994"/>
    <s v="Pass"/>
    <s v="student067@example.com"/>
    <s v="STU0067"/>
    <n v="17500"/>
    <d v="2022-10-20T00:00:00"/>
  </r>
  <r>
    <n v="1068"/>
    <s v="Kavya Iyer"/>
    <n v="22"/>
    <s v="Female"/>
    <s v="BMS"/>
    <s v="Computer Science"/>
    <n v="3"/>
    <s v="Vasai"/>
    <n v="85"/>
    <n v="57"/>
    <n v="62"/>
    <n v="84"/>
    <n v="51"/>
    <n v="97"/>
    <n v="70.2"/>
    <s v="Pass"/>
    <s v="student068@example.com"/>
    <s v="STU0068"/>
    <n v="20000"/>
    <d v="2022-11-12T00:00:00"/>
  </r>
  <r>
    <n v="1069"/>
    <s v="Krish Singh"/>
    <n v="23"/>
    <s v="Male"/>
    <s v="BSc IT"/>
    <s v="Management"/>
    <n v="4"/>
    <s v="Panvel"/>
    <n v="92"/>
    <n v="68"/>
    <n v="75"/>
    <n v="32"/>
    <n v="70"/>
    <n v="50"/>
    <n v="59"/>
    <s v="Needs Improvement"/>
    <s v="student069@example.com"/>
    <s v="STU0069"/>
    <n v="22500"/>
    <d v="2022-12-05T00:00:00"/>
  </r>
  <r>
    <n v="1070"/>
    <s v="Meera More"/>
    <n v="24"/>
    <s v="Female"/>
    <s v="BA"/>
    <s v="IT"/>
    <n v="5"/>
    <s v="Navi Mumbai"/>
    <n v="99"/>
    <n v="79"/>
    <n v="88"/>
    <n v="49"/>
    <n v="89"/>
    <n v="59"/>
    <n v="72.8"/>
    <s v="Pass"/>
    <s v="student070@example.com"/>
    <s v="STU0070"/>
    <n v="25000"/>
    <d v="2022-12-28T00:00:00"/>
  </r>
  <r>
    <n v="1071"/>
    <s v="Neha Verma"/>
    <n v="25"/>
    <s v="Male"/>
    <s v="BCA"/>
    <s v="Commerce"/>
    <n v="6"/>
    <s v="Kalyan"/>
    <n v="65"/>
    <n v="90"/>
    <n v="30"/>
    <n v="66"/>
    <n v="47"/>
    <n v="68"/>
    <n v="60.2"/>
    <s v="Needs Improvement"/>
    <s v="student071@example.com"/>
    <s v="STU0071"/>
    <n v="27500"/>
    <d v="2023-01-20T00:00:00"/>
  </r>
  <r>
    <n v="1072"/>
    <s v="Om Khan"/>
    <n v="18"/>
    <s v="Female"/>
    <s v="BA"/>
    <s v="Arts"/>
    <n v="1"/>
    <s v="Mumbai"/>
    <n v="72"/>
    <n v="35"/>
    <n v="43"/>
    <n v="83"/>
    <n v="66"/>
    <n v="77"/>
    <n v="60.8"/>
    <s v="Pass"/>
    <s v="student072@example.com"/>
    <s v="STU0072"/>
    <n v="15000"/>
    <d v="2023-02-12T00:00:00"/>
  </r>
  <r>
    <n v="1073"/>
    <s v="Priya Pawar"/>
    <n v="19"/>
    <s v="Male"/>
    <s v="BCA"/>
    <s v="Computer Science"/>
    <n v="2"/>
    <s v="Pune"/>
    <n v="79"/>
    <n v="46"/>
    <n v="56"/>
    <n v="100"/>
    <n v="85"/>
    <n v="86"/>
    <n v="74.599999999999994"/>
    <s v="Pass"/>
    <s v="student073@example.com"/>
    <s v="STU0073"/>
    <n v="17500"/>
    <d v="2023-03-07T00:00:00"/>
  </r>
  <r>
    <n v="1074"/>
    <s v="Rahul Bhat"/>
    <n v="20"/>
    <s v="Female"/>
    <s v="BA"/>
    <s v="Management"/>
    <n v="3"/>
    <s v="Dombivli"/>
    <n v="86"/>
    <n v="57"/>
    <n v="69"/>
    <n v="48"/>
    <n v="43"/>
    <n v="95"/>
    <n v="62.4"/>
    <s v="Pass"/>
    <s v="student074@example.com"/>
    <s v="STU0074"/>
    <n v="20000"/>
    <d v="2023-03-30T00:00:00"/>
  </r>
  <r>
    <n v="1075"/>
    <s v="Riya Menon"/>
    <n v="21"/>
    <s v="Male"/>
    <s v="BCA"/>
    <s v="IT"/>
    <n v="4"/>
    <s v="Thane"/>
    <n v="93"/>
    <n v="68"/>
    <n v="82"/>
    <n v="65"/>
    <n v="62"/>
    <n v="48"/>
    <n v="65"/>
    <s v="Pass"/>
    <s v="student075@example.com"/>
    <s v="STU0075"/>
    <n v="22500"/>
    <d v="2023-04-22T00:00:00"/>
  </r>
  <r>
    <n v="1076"/>
    <s v="Saanvi Sawant"/>
    <n v="22"/>
    <s v="Female"/>
    <s v="BA"/>
    <s v="Commerce"/>
    <n v="5"/>
    <s v="Vasai"/>
    <n v="100"/>
    <n v="79"/>
    <n v="95"/>
    <n v="82"/>
    <n v="81"/>
    <n v="57"/>
    <n v="78.8"/>
    <s v="Pass"/>
    <s v="student076@example.com"/>
    <s v="STU0076"/>
    <n v="25000"/>
    <d v="2023-05-15T00:00:00"/>
  </r>
  <r>
    <n v="1077"/>
    <s v="Tara Thakur"/>
    <n v="23"/>
    <s v="Male"/>
    <s v="BCom"/>
    <s v="Arts"/>
    <n v="6"/>
    <s v="Panvel"/>
    <n v="66"/>
    <n v="90"/>
    <n v="37"/>
    <n v="99"/>
    <n v="100"/>
    <n v="66"/>
    <n v="78.400000000000006"/>
    <s v="Pass"/>
    <s v="student077@example.com"/>
    <s v="STU0077"/>
    <n v="27500"/>
    <d v="2023-06-07T00:00:00"/>
  </r>
  <r>
    <n v="1078"/>
    <s v="Vivaan Sharma"/>
    <n v="24"/>
    <s v="Female"/>
    <s v="BSc Computer Science"/>
    <s v="Computer Science"/>
    <n v="1"/>
    <s v="Navi Mumbai"/>
    <n v="73"/>
    <n v="35"/>
    <n v="50"/>
    <n v="47"/>
    <n v="58"/>
    <n v="75"/>
    <n v="53"/>
    <s v="Pass"/>
    <s v="student078@example.com"/>
    <s v="STU0078"/>
    <n v="15000"/>
    <d v="2023-06-30T00:00:00"/>
  </r>
  <r>
    <n v="1079"/>
    <s v="Yash Patel"/>
    <n v="25"/>
    <s v="Male"/>
    <s v="BCom"/>
    <s v="Management"/>
    <n v="2"/>
    <s v="Kalyan"/>
    <n v="80"/>
    <n v="46"/>
    <n v="63"/>
    <n v="64"/>
    <n v="77"/>
    <n v="84"/>
    <n v="66.8"/>
    <s v="Pass"/>
    <s v="student079@example.com"/>
    <s v="STU0079"/>
    <n v="17500"/>
    <d v="2023-07-23T00:00:00"/>
  </r>
  <r>
    <n v="1080"/>
    <s v="Zoya Mehta"/>
    <n v="18"/>
    <s v="Female"/>
    <s v="BSc Computer Science"/>
    <s v="IT"/>
    <n v="3"/>
    <s v="Mumbai"/>
    <n v="87"/>
    <n v="57"/>
    <n v="76"/>
    <n v="81"/>
    <n v="96"/>
    <n v="93"/>
    <n v="80.599999999999994"/>
    <s v="Pass"/>
    <s v="student080@example.com"/>
    <s v="STU0080"/>
    <n v="20000"/>
    <d v="2023-08-15T00:00:00"/>
  </r>
  <r>
    <n v="1081"/>
    <s v="Aarav Joshi"/>
    <n v="19"/>
    <s v="Male"/>
    <s v="BCom"/>
    <s v="Commerce"/>
    <n v="4"/>
    <s v="Pune"/>
    <n v="94"/>
    <n v="68"/>
    <n v="89"/>
    <n v="98"/>
    <n v="54"/>
    <n v="46"/>
    <n v="71"/>
    <s v="Pass"/>
    <s v="student081@example.com"/>
    <s v="STU0081"/>
    <n v="22500"/>
    <d v="2023-09-07T00:00:00"/>
  </r>
  <r>
    <n v="1082"/>
    <s v="Aditi Shah"/>
    <n v="20"/>
    <s v="Female"/>
    <s v="BSc Computer Science"/>
    <s v="Arts"/>
    <n v="5"/>
    <s v="Dombivli"/>
    <n v="60"/>
    <n v="79"/>
    <n v="31"/>
    <n v="46"/>
    <n v="73"/>
    <n v="55"/>
    <n v="56.8"/>
    <s v="Needs Improvement"/>
    <s v="student082@example.com"/>
    <s v="STU0082"/>
    <n v="25000"/>
    <d v="2023-09-30T00:00:00"/>
  </r>
  <r>
    <n v="1083"/>
    <s v="Akash Kulkarni"/>
    <n v="21"/>
    <s v="Male"/>
    <s v="BCom"/>
    <s v="Computer Science"/>
    <n v="6"/>
    <s v="Thane"/>
    <n v="67"/>
    <n v="90"/>
    <n v="44"/>
    <n v="63"/>
    <n v="92"/>
    <n v="64"/>
    <n v="70.599999999999994"/>
    <s v="Pass"/>
    <s v="student083@example.com"/>
    <s v="STU0083"/>
    <n v="27500"/>
    <d v="2023-10-23T00:00:00"/>
  </r>
  <r>
    <n v="1084"/>
    <s v="Ananya Nair"/>
    <n v="22"/>
    <s v="Female"/>
    <s v="BSc IT"/>
    <s v="Management"/>
    <n v="1"/>
    <s v="Vasai"/>
    <n v="74"/>
    <n v="35"/>
    <n v="57"/>
    <n v="80"/>
    <n v="50"/>
    <n v="73"/>
    <n v="59"/>
    <s v="Pass"/>
    <s v="student084@example.com"/>
    <s v="STU0084"/>
    <n v="15000"/>
    <d v="2023-11-15T00:00:00"/>
  </r>
  <r>
    <n v="1085"/>
    <s v="Arjun Gupta"/>
    <n v="23"/>
    <s v="Male"/>
    <s v="BMS"/>
    <s v="IT"/>
    <n v="2"/>
    <s v="Panvel"/>
    <n v="81"/>
    <n v="46"/>
    <n v="70"/>
    <n v="97"/>
    <n v="69"/>
    <n v="82"/>
    <n v="72.8"/>
    <s v="Pass"/>
    <s v="student085@example.com"/>
    <s v="STU0085"/>
    <n v="17500"/>
    <d v="2023-12-08T00:00:00"/>
  </r>
  <r>
    <n v="1086"/>
    <s v="Diya Rao"/>
    <n v="24"/>
    <s v="Female"/>
    <s v="BSc IT"/>
    <s v="Commerce"/>
    <n v="3"/>
    <s v="Navi Mumbai"/>
    <n v="88"/>
    <n v="57"/>
    <n v="83"/>
    <n v="45"/>
    <n v="88"/>
    <n v="91"/>
    <n v="72.8"/>
    <s v="Pass"/>
    <s v="student086@example.com"/>
    <s v="STU0086"/>
    <n v="20000"/>
    <d v="2023-12-31T00:00:00"/>
  </r>
  <r>
    <n v="1087"/>
    <s v="Ishaan Iyer"/>
    <n v="25"/>
    <s v="Male"/>
    <s v="BMS"/>
    <s v="Arts"/>
    <n v="4"/>
    <s v="Kalyan"/>
    <n v="95"/>
    <n v="68"/>
    <n v="96"/>
    <n v="62"/>
    <n v="46"/>
    <n v="100"/>
    <n v="74.400000000000006"/>
    <s v="Pass"/>
    <s v="student087@example.com"/>
    <s v="STU0087"/>
    <n v="22500"/>
    <d v="2024-01-23T00:00:00"/>
  </r>
  <r>
    <n v="1088"/>
    <s v="Kavya Singh"/>
    <n v="18"/>
    <s v="Female"/>
    <s v="BSc IT"/>
    <s v="Computer Science"/>
    <n v="5"/>
    <s v="Mumbai"/>
    <n v="61"/>
    <n v="79"/>
    <n v="38"/>
    <n v="79"/>
    <n v="65"/>
    <n v="53"/>
    <n v="62.8"/>
    <s v="Pass"/>
    <s v="student088@example.com"/>
    <s v="STU0088"/>
    <n v="25000"/>
    <d v="2024-02-15T00:00:00"/>
  </r>
  <r>
    <n v="1089"/>
    <s v="Krish More"/>
    <n v="19"/>
    <s v="Male"/>
    <s v="BMS"/>
    <s v="Management"/>
    <n v="6"/>
    <s v="Pune"/>
    <n v="68"/>
    <n v="90"/>
    <n v="51"/>
    <n v="96"/>
    <n v="84"/>
    <n v="62"/>
    <n v="76.599999999999994"/>
    <s v="Pass"/>
    <s v="student089@example.com"/>
    <s v="STU0089"/>
    <n v="27500"/>
    <d v="2024-03-09T00:00:00"/>
  </r>
  <r>
    <n v="1090"/>
    <s v="Meera Verma"/>
    <n v="20"/>
    <s v="Female"/>
    <s v="BSc IT"/>
    <s v="IT"/>
    <n v="1"/>
    <s v="Dombivli"/>
    <n v="75"/>
    <n v="35"/>
    <n v="64"/>
    <n v="44"/>
    <n v="42"/>
    <n v="71"/>
    <n v="51.2"/>
    <s v="Pass"/>
    <s v="student090@example.com"/>
    <s v="STU0090"/>
    <n v="15000"/>
    <d v="2024-04-01T00:00:00"/>
  </r>
  <r>
    <n v="1091"/>
    <s v="Neha Khan"/>
    <n v="21"/>
    <s v="Male"/>
    <s v="BA"/>
    <s v="Commerce"/>
    <n v="2"/>
    <s v="Thane"/>
    <n v="82"/>
    <n v="46"/>
    <n v="77"/>
    <n v="61"/>
    <n v="61"/>
    <n v="80"/>
    <n v="65"/>
    <s v="Pass"/>
    <s v="student091@example.com"/>
    <s v="STU0091"/>
    <n v="17500"/>
    <d v="2024-04-24T00:00:00"/>
  </r>
  <r>
    <n v="1092"/>
    <s v="Om Pawar"/>
    <n v="22"/>
    <s v="Female"/>
    <s v="BCA"/>
    <s v="Arts"/>
    <n v="3"/>
    <s v="Vasai"/>
    <n v="89"/>
    <n v="57"/>
    <n v="90"/>
    <n v="78"/>
    <n v="80"/>
    <n v="89"/>
    <n v="78.8"/>
    <s v="Pass"/>
    <s v="student092@example.com"/>
    <s v="STU0092"/>
    <n v="20000"/>
    <d v="2024-05-17T00:00:00"/>
  </r>
  <r>
    <n v="1093"/>
    <s v="Priya Bhat"/>
    <n v="23"/>
    <s v="Male"/>
    <s v="BA"/>
    <s v="Computer Science"/>
    <n v="4"/>
    <s v="Panvel"/>
    <n v="96"/>
    <n v="68"/>
    <n v="32"/>
    <n v="95"/>
    <n v="99"/>
    <n v="98"/>
    <n v="78.400000000000006"/>
    <s v="Needs Improvement"/>
    <s v="student093@example.com"/>
    <s v="STU0093"/>
    <n v="22500"/>
    <d v="2024-06-09T00:00:00"/>
  </r>
  <r>
    <n v="1094"/>
    <s v="Rahul Menon"/>
    <n v="24"/>
    <s v="Female"/>
    <s v="BCA"/>
    <s v="Management"/>
    <n v="5"/>
    <s v="Navi Mumbai"/>
    <n v="62"/>
    <n v="79"/>
    <n v="45"/>
    <n v="43"/>
    <n v="57"/>
    <n v="51"/>
    <n v="55"/>
    <s v="Pass"/>
    <s v="student094@example.com"/>
    <s v="STU0094"/>
    <n v="25000"/>
    <d v="2024-07-02T00:00:00"/>
  </r>
  <r>
    <n v="1095"/>
    <s v="Riya Sawant"/>
    <n v="25"/>
    <s v="Male"/>
    <s v="BA"/>
    <s v="IT"/>
    <n v="6"/>
    <s v="Kalyan"/>
    <n v="69"/>
    <n v="90"/>
    <n v="58"/>
    <n v="60"/>
    <n v="76"/>
    <n v="60"/>
    <n v="68.8"/>
    <s v="Pass"/>
    <s v="student095@example.com"/>
    <s v="STU0095"/>
    <n v="27500"/>
    <d v="2024-07-25T00:00:00"/>
  </r>
  <r>
    <n v="1096"/>
    <s v="Saanvi Thakur"/>
    <n v="18"/>
    <s v="Female"/>
    <s v="BCA"/>
    <s v="Commerce"/>
    <n v="1"/>
    <s v="Mumbai"/>
    <n v="76"/>
    <n v="35"/>
    <n v="71"/>
    <n v="77"/>
    <n v="95"/>
    <n v="69"/>
    <n v="69.400000000000006"/>
    <s v="Pass"/>
    <s v="student096@example.com"/>
    <s v="STU0096"/>
    <n v="15000"/>
    <d v="2024-08-17T00:00:00"/>
  </r>
  <r>
    <n v="1097"/>
    <s v="Tara Sharma"/>
    <n v="19"/>
    <s v="Male"/>
    <s v="BA"/>
    <s v="Arts"/>
    <n v="2"/>
    <s v="Pune"/>
    <n v="83"/>
    <n v="46"/>
    <n v="84"/>
    <n v="94"/>
    <n v="53"/>
    <n v="78"/>
    <n v="71"/>
    <s v="Pass"/>
    <s v="student097@example.com"/>
    <s v="STU0097"/>
    <n v="17500"/>
    <d v="2024-09-09T00:00:00"/>
  </r>
  <r>
    <n v="1098"/>
    <s v="Vivaan Patel"/>
    <n v="20"/>
    <s v="Female"/>
    <s v="BCom"/>
    <s v="Computer Science"/>
    <n v="3"/>
    <s v="Dombivli"/>
    <n v="90"/>
    <n v="57"/>
    <n v="97"/>
    <n v="42"/>
    <n v="72"/>
    <n v="87"/>
    <n v="71"/>
    <s v="Pass"/>
    <s v="student098@example.com"/>
    <s v="STU0098"/>
    <n v="20000"/>
    <d v="2024-10-02T00:00:00"/>
  </r>
  <r>
    <n v="1099"/>
    <s v="Yash Mehta"/>
    <n v="21"/>
    <s v="Male"/>
    <s v="BSc Computer Science"/>
    <s v="Management"/>
    <n v="4"/>
    <s v="Thane"/>
    <n v="97"/>
    <n v="68"/>
    <n v="39"/>
    <n v="59"/>
    <n v="91"/>
    <n v="96"/>
    <n v="70.599999999999994"/>
    <s v="Pass"/>
    <s v="student099@example.com"/>
    <s v="STU0099"/>
    <n v="22500"/>
    <d v="2024-10-25T00:00:00"/>
  </r>
  <r>
    <n v="1100"/>
    <s v="Zoya Desai"/>
    <n v="22"/>
    <s v="Female"/>
    <s v="BCom"/>
    <s v="IT"/>
    <n v="5"/>
    <s v="Vasai"/>
    <n v="63"/>
    <n v="79"/>
    <n v="52"/>
    <n v="76"/>
    <n v="49"/>
    <n v="49"/>
    <n v="61"/>
    <s v="Pass"/>
    <s v="student100@example.com"/>
    <s v="STU0100"/>
    <n v="25000"/>
    <d v="2024-11-17T00:00:00"/>
  </r>
  <r>
    <n v="1101"/>
    <s v="Aarav Shah"/>
    <n v="23"/>
    <s v="Male"/>
    <s v="BSc Computer Science"/>
    <s v="Commerce"/>
    <n v="6"/>
    <s v="Panvel"/>
    <n v="70"/>
    <n v="90"/>
    <n v="65"/>
    <n v="93"/>
    <n v="68"/>
    <n v="58"/>
    <n v="74.8"/>
    <s v="Pass"/>
    <s v="student101@example.com"/>
    <s v="STU0101"/>
    <n v="27500"/>
    <d v="2024-12-10T00:00:00"/>
  </r>
  <r>
    <n v="1102"/>
    <s v="Aditi Kulkarni"/>
    <n v="24"/>
    <s v="Female"/>
    <s v="BCom"/>
    <s v="Arts"/>
    <n v="1"/>
    <s v="Navi Mumbai"/>
    <n v="77"/>
    <n v="35"/>
    <n v="78"/>
    <n v="41"/>
    <n v="87"/>
    <n v="67"/>
    <n v="61.6"/>
    <s v="Pass"/>
    <s v="student102@example.com"/>
    <s v="STU0102"/>
    <n v="15000"/>
    <d v="2025-01-02T00:00:00"/>
  </r>
  <r>
    <n v="1103"/>
    <s v="Akash Nair"/>
    <n v="25"/>
    <s v="Male"/>
    <s v="BSc Computer Science"/>
    <s v="Computer Science"/>
    <n v="2"/>
    <s v="Kalyan"/>
    <n v="84"/>
    <n v="46"/>
    <n v="91"/>
    <n v="58"/>
    <n v="45"/>
    <n v="76"/>
    <n v="63.2"/>
    <s v="Pass"/>
    <s v="student103@example.com"/>
    <s v="STU0103"/>
    <n v="17500"/>
    <d v="2025-01-25T00:00:00"/>
  </r>
  <r>
    <n v="1104"/>
    <s v="Ananya Gupta"/>
    <n v="18"/>
    <s v="Female"/>
    <s v="BCom"/>
    <s v="Management"/>
    <n v="3"/>
    <s v="Mumbai"/>
    <n v="91"/>
    <n v="57"/>
    <n v="33"/>
    <n v="75"/>
    <n v="64"/>
    <n v="85"/>
    <n v="62.8"/>
    <s v="Needs Improvement"/>
    <s v="student104@example.com"/>
    <s v="STU0104"/>
    <n v="20000"/>
    <d v="2025-02-17T00:00:00"/>
  </r>
  <r>
    <n v="1105"/>
    <s v="Arjun Rao"/>
    <n v="19"/>
    <s v="Male"/>
    <s v="BSc IT"/>
    <s v="IT"/>
    <n v="4"/>
    <s v="Pune"/>
    <n v="98"/>
    <n v="68"/>
    <n v="46"/>
    <n v="92"/>
    <n v="83"/>
    <n v="94"/>
    <n v="76.599999999999994"/>
    <s v="Pass"/>
    <s v="student105@example.com"/>
    <s v="STU0105"/>
    <n v="22500"/>
    <d v="2025-03-12T00:00:00"/>
  </r>
  <r>
    <n v="1106"/>
    <s v="Diya Iyer"/>
    <n v="20"/>
    <s v="Female"/>
    <s v="BMS"/>
    <s v="Commerce"/>
    <n v="5"/>
    <s v="Dombivli"/>
    <n v="64"/>
    <n v="79"/>
    <n v="59"/>
    <n v="40"/>
    <n v="41"/>
    <n v="47"/>
    <n v="53.2"/>
    <s v="Pass"/>
    <s v="student106@example.com"/>
    <s v="STU0106"/>
    <n v="25000"/>
    <d v="2025-04-04T00:00:00"/>
  </r>
  <r>
    <n v="1107"/>
    <s v="Ishaan Singh"/>
    <n v="21"/>
    <s v="Male"/>
    <s v="BSc IT"/>
    <s v="Arts"/>
    <n v="6"/>
    <s v="Thane"/>
    <n v="71"/>
    <n v="90"/>
    <n v="72"/>
    <n v="57"/>
    <n v="60"/>
    <n v="56"/>
    <n v="67"/>
    <s v="Pass"/>
    <s v="student107@example.com"/>
    <s v="STU0107"/>
    <n v="27500"/>
    <d v="2025-04-27T00:00:00"/>
  </r>
  <r>
    <n v="1108"/>
    <s v="Kavya More"/>
    <n v="22"/>
    <s v="Female"/>
    <s v="BMS"/>
    <s v="Computer Science"/>
    <n v="1"/>
    <s v="Vasai"/>
    <n v="78"/>
    <n v="35"/>
    <n v="85"/>
    <n v="74"/>
    <n v="79"/>
    <n v="65"/>
    <n v="67.599999999999994"/>
    <s v="Pass"/>
    <s v="student108@example.com"/>
    <s v="STU0108"/>
    <n v="15000"/>
    <d v="2025-05-20T00:00:00"/>
  </r>
  <r>
    <n v="1109"/>
    <s v="Krish Verma"/>
    <n v="23"/>
    <s v="Male"/>
    <s v="BSc IT"/>
    <s v="Management"/>
    <n v="2"/>
    <s v="Panvel"/>
    <n v="85"/>
    <n v="46"/>
    <n v="98"/>
    <n v="91"/>
    <n v="98"/>
    <n v="74"/>
    <n v="81.400000000000006"/>
    <s v="Pass"/>
    <s v="student109@example.com"/>
    <s v="STU0109"/>
    <n v="17500"/>
    <d v="2025-06-12T00:00:00"/>
  </r>
  <r>
    <n v="1110"/>
    <s v="Meera Khan"/>
    <n v="24"/>
    <s v="Female"/>
    <s v="BMS"/>
    <s v="IT"/>
    <n v="3"/>
    <s v="Navi Mumbai"/>
    <n v="92"/>
    <n v="57"/>
    <n v="40"/>
    <n v="39"/>
    <n v="56"/>
    <n v="83"/>
    <n v="55"/>
    <s v="Pass"/>
    <s v="student110@example.com"/>
    <s v="STU0110"/>
    <n v="20000"/>
    <d v="2025-07-05T00:00:00"/>
  </r>
  <r>
    <n v="1111"/>
    <s v="Neha Pawar"/>
    <n v="25"/>
    <s v="Male"/>
    <s v="BSc IT"/>
    <s v="Commerce"/>
    <n v="4"/>
    <s v="Kalyan"/>
    <n v="99"/>
    <n v="68"/>
    <n v="53"/>
    <n v="56"/>
    <n v="75"/>
    <n v="92"/>
    <n v="68.8"/>
    <s v="Pass"/>
    <s v="student111@example.com"/>
    <s v="STU0111"/>
    <n v="22500"/>
    <d v="2025-07-28T00:00:00"/>
  </r>
  <r>
    <n v="1112"/>
    <s v="Om Bhat"/>
    <n v="18"/>
    <s v="Female"/>
    <s v="BA"/>
    <s v="Arts"/>
    <n v="5"/>
    <s v="Mumbai"/>
    <n v="65"/>
    <n v="79"/>
    <n v="66"/>
    <n v="73"/>
    <n v="94"/>
    <n v="45"/>
    <n v="71.400000000000006"/>
    <s v="Pass"/>
    <s v="student112@example.com"/>
    <s v="STU0112"/>
    <n v="25000"/>
    <d v="2025-08-20T00:00:00"/>
  </r>
  <r>
    <n v="1113"/>
    <s v="Priya Menon"/>
    <n v="19"/>
    <s v="Male"/>
    <s v="BCA"/>
    <s v="Computer Science"/>
    <n v="6"/>
    <s v="Pune"/>
    <n v="72"/>
    <n v="90"/>
    <n v="79"/>
    <n v="90"/>
    <n v="52"/>
    <n v="54"/>
    <n v="73"/>
    <s v="Pass"/>
    <s v="student113@example.com"/>
    <s v="STU0113"/>
    <n v="27500"/>
    <d v="2025-09-12T00:00:00"/>
  </r>
  <r>
    <n v="1114"/>
    <s v="Rahul Sawant"/>
    <n v="20"/>
    <s v="Female"/>
    <s v="BA"/>
    <s v="Management"/>
    <n v="1"/>
    <s v="Dombivli"/>
    <n v="79"/>
    <n v="35"/>
    <n v="92"/>
    <n v="38"/>
    <n v="71"/>
    <n v="63"/>
    <n v="59.8"/>
    <s v="Pass"/>
    <s v="student114@example.com"/>
    <s v="STU0114"/>
    <n v="15000"/>
    <d v="2025-10-05T00:00:00"/>
  </r>
  <r>
    <n v="1115"/>
    <s v="Riya Thakur"/>
    <n v="21"/>
    <s v="Male"/>
    <s v="BCA"/>
    <s v="IT"/>
    <n v="2"/>
    <s v="Thane"/>
    <n v="86"/>
    <n v="46"/>
    <n v="34"/>
    <n v="55"/>
    <n v="90"/>
    <n v="72"/>
    <n v="59.4"/>
    <s v="Needs Improvement"/>
    <s v="student115@example.com"/>
    <s v="STU0115"/>
    <n v="17500"/>
    <d v="2025-10-28T00:00:00"/>
  </r>
  <r>
    <n v="1116"/>
    <s v="Saanvi Sharma"/>
    <n v="22"/>
    <s v="Female"/>
    <s v="BA"/>
    <s v="Commerce"/>
    <n v="3"/>
    <s v="Vasai"/>
    <n v="93"/>
    <n v="57"/>
    <n v="47"/>
    <n v="72"/>
    <n v="48"/>
    <n v="81"/>
    <n v="61"/>
    <s v="Pass"/>
    <s v="student116@example.com"/>
    <s v="STU0116"/>
    <n v="20000"/>
    <d v="2025-11-20T00:00:00"/>
  </r>
  <r>
    <n v="1117"/>
    <s v="Tara Patel"/>
    <n v="23"/>
    <s v="Male"/>
    <s v="BCA"/>
    <s v="Arts"/>
    <n v="4"/>
    <s v="Panvel"/>
    <n v="100"/>
    <n v="68"/>
    <n v="60"/>
    <n v="89"/>
    <n v="67"/>
    <n v="90"/>
    <n v="74.8"/>
    <s v="Pass"/>
    <s v="student117@example.com"/>
    <s v="STU0117"/>
    <n v="22500"/>
    <d v="2025-12-13T00:00:00"/>
  </r>
  <r>
    <n v="1118"/>
    <s v="Vivaan Mehta"/>
    <n v="24"/>
    <s v="Female"/>
    <s v="BA"/>
    <s v="Computer Science"/>
    <n v="5"/>
    <s v="Navi Mumbai"/>
    <n v="66"/>
    <n v="79"/>
    <n v="73"/>
    <n v="37"/>
    <n v="86"/>
    <n v="99"/>
    <n v="74.8"/>
    <s v="Pass"/>
    <s v="student118@example.com"/>
    <s v="STU0118"/>
    <n v="25000"/>
    <d v="2026-01-05T00:00:00"/>
  </r>
  <r>
    <n v="1119"/>
    <s v="Yash Desai"/>
    <n v="25"/>
    <s v="Male"/>
    <s v="BCom"/>
    <s v="Management"/>
    <n v="6"/>
    <s v="Kalyan"/>
    <n v="73"/>
    <n v="90"/>
    <n v="86"/>
    <n v="54"/>
    <n v="44"/>
    <n v="52"/>
    <n v="65.2"/>
    <s v="Pass"/>
    <s v="student119@example.com"/>
    <s v="STU0119"/>
    <n v="27500"/>
    <d v="2026-01-28T00:00:00"/>
  </r>
  <r>
    <n v="1120"/>
    <s v="Zoya Joshi"/>
    <n v="18"/>
    <s v="Female"/>
    <s v="BSc Computer Science"/>
    <s v="IT"/>
    <n v="1"/>
    <s v="Mumbai"/>
    <n v="80"/>
    <n v="35"/>
    <n v="99"/>
    <n v="71"/>
    <n v="63"/>
    <n v="61"/>
    <n v="65.8"/>
    <s v="Pass"/>
    <s v="student120@example.com"/>
    <s v="STU0120"/>
    <n v="15000"/>
    <d v="2026-02-20T00:00:00"/>
  </r>
  <r>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CF68D6-2A71-4646-90A6-1158B3C1BDA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3">
    <pivotField dataField="1" showAll="0"/>
    <pivotField showAll="0"/>
    <pivotField showAll="0"/>
    <pivotField showAll="0"/>
    <pivotField showAll="0">
      <items count="7">
        <item x="2"/>
        <item x="3"/>
        <item x="4"/>
        <item x="0"/>
        <item x="5"/>
        <item x="1"/>
        <item t="default"/>
      </items>
    </pivotField>
    <pivotField showAll="0">
      <items count="6">
        <item x="1"/>
        <item x="0"/>
        <item x="2"/>
        <item x="4"/>
        <item x="3"/>
        <item t="default"/>
      </items>
    </pivotField>
    <pivotField showAll="0">
      <items count="7">
        <item x="5"/>
        <item x="0"/>
        <item x="1"/>
        <item x="2"/>
        <item x="3"/>
        <item x="4"/>
        <item t="default"/>
      </items>
    </pivotField>
    <pivotField showAll="0">
      <items count="9">
        <item x="1"/>
        <item x="6"/>
        <item x="7"/>
        <item x="5"/>
        <item x="4"/>
        <item x="0"/>
        <item x="2"/>
        <item x="3"/>
        <item t="default"/>
      </items>
    </pivotField>
    <pivotField showAll="0"/>
    <pivotField showAll="0"/>
    <pivotField showAll="0"/>
    <pivotField showAll="0"/>
    <pivotField showAll="0"/>
    <pivotField showAll="0"/>
    <pivotField showAll="0"/>
    <pivotField showAll="0"/>
    <pivotField showAll="0"/>
    <pivotField showAll="0"/>
    <pivotField numFmtId="165" showAll="0"/>
    <pivotField numFmtId="164" showAll="0">
      <items count="121">
        <item x="60"/>
        <item x="0"/>
        <item x="61"/>
        <item x="1"/>
        <item x="62"/>
        <item x="2"/>
        <item x="63"/>
        <item x="3"/>
        <item x="64"/>
        <item x="4"/>
        <item x="65"/>
        <item x="5"/>
        <item x="66"/>
        <item x="6"/>
        <item x="67"/>
        <item x="7"/>
        <item x="68"/>
        <item x="8"/>
        <item x="69"/>
        <item x="9"/>
        <item x="70"/>
        <item x="10"/>
        <item x="71"/>
        <item x="11"/>
        <item x="72"/>
        <item x="12"/>
        <item x="73"/>
        <item x="13"/>
        <item x="74"/>
        <item x="14"/>
        <item x="75"/>
        <item x="15"/>
        <item x="76"/>
        <item x="16"/>
        <item x="77"/>
        <item x="17"/>
        <item x="78"/>
        <item x="18"/>
        <item x="79"/>
        <item x="19"/>
        <item x="80"/>
        <item x="20"/>
        <item x="81"/>
        <item x="21"/>
        <item x="82"/>
        <item x="22"/>
        <item x="83"/>
        <item x="23"/>
        <item x="84"/>
        <item x="24"/>
        <item x="85"/>
        <item x="25"/>
        <item x="86"/>
        <item x="26"/>
        <item x="87"/>
        <item x="27"/>
        <item x="88"/>
        <item x="28"/>
        <item x="89"/>
        <item x="29"/>
        <item x="90"/>
        <item x="30"/>
        <item x="91"/>
        <item x="31"/>
        <item x="92"/>
        <item x="32"/>
        <item x="93"/>
        <item x="33"/>
        <item x="94"/>
        <item x="34"/>
        <item x="95"/>
        <item x="35"/>
        <item x="96"/>
        <item x="36"/>
        <item x="97"/>
        <item x="37"/>
        <item x="98"/>
        <item x="38"/>
        <item x="99"/>
        <item x="39"/>
        <item x="100"/>
        <item x="40"/>
        <item x="101"/>
        <item x="41"/>
        <item x="102"/>
        <item x="42"/>
        <item x="103"/>
        <item x="43"/>
        <item x="104"/>
        <item x="44"/>
        <item x="105"/>
        <item x="45"/>
        <item x="106"/>
        <item x="46"/>
        <item x="107"/>
        <item x="47"/>
        <item x="108"/>
        <item x="48"/>
        <item x="109"/>
        <item x="49"/>
        <item x="110"/>
        <item x="50"/>
        <item x="111"/>
        <item x="51"/>
        <item x="112"/>
        <item x="52"/>
        <item x="113"/>
        <item x="53"/>
        <item x="114"/>
        <item x="54"/>
        <item x="115"/>
        <item x="55"/>
        <item x="116"/>
        <item x="56"/>
        <item x="117"/>
        <item x="57"/>
        <item x="118"/>
        <item x="58"/>
        <item x="119"/>
        <item x="5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Count of Stu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FAEC7F-B464-406E-A4FA-C13AE938F90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8:F25" firstHeaderRow="0" firstDataRow="1" firstDataCol="1"/>
  <pivotFields count="23">
    <pivotField showAll="0"/>
    <pivotField showAll="0">
      <items count="121">
        <item x="60"/>
        <item x="80"/>
        <item x="40"/>
        <item x="20"/>
        <item x="100"/>
        <item x="0"/>
        <item x="41"/>
        <item x="61"/>
        <item x="101"/>
        <item x="21"/>
        <item x="1"/>
        <item x="81"/>
        <item x="22"/>
        <item x="42"/>
        <item x="82"/>
        <item x="2"/>
        <item x="102"/>
        <item x="62"/>
        <item x="3"/>
        <item x="103"/>
        <item x="23"/>
        <item x="63"/>
        <item x="83"/>
        <item x="43"/>
        <item x="84"/>
        <item x="4"/>
        <item x="44"/>
        <item x="64"/>
        <item x="104"/>
        <item x="24"/>
        <item x="65"/>
        <item x="105"/>
        <item x="25"/>
        <item x="45"/>
        <item x="85"/>
        <item x="5"/>
        <item x="46"/>
        <item x="86"/>
        <item x="6"/>
        <item x="26"/>
        <item x="66"/>
        <item x="106"/>
        <item x="27"/>
        <item x="67"/>
        <item x="107"/>
        <item x="7"/>
        <item x="47"/>
        <item x="87"/>
        <item x="8"/>
        <item x="48"/>
        <item x="88"/>
        <item x="28"/>
        <item x="68"/>
        <item x="108"/>
        <item x="29"/>
        <item x="109"/>
        <item x="69"/>
        <item x="9"/>
        <item x="49"/>
        <item x="89"/>
        <item x="10"/>
        <item x="90"/>
        <item x="50"/>
        <item x="110"/>
        <item x="30"/>
        <item x="70"/>
        <item x="111"/>
        <item x="71"/>
        <item x="31"/>
        <item x="91"/>
        <item x="11"/>
        <item x="51"/>
        <item x="92"/>
        <item x="52"/>
        <item x="112"/>
        <item x="12"/>
        <item x="72"/>
        <item x="32"/>
        <item x="73"/>
        <item x="33"/>
        <item x="93"/>
        <item x="53"/>
        <item x="113"/>
        <item x="13"/>
        <item x="54"/>
        <item x="14"/>
        <item x="74"/>
        <item x="34"/>
        <item x="94"/>
        <item x="114"/>
        <item x="35"/>
        <item x="55"/>
        <item x="15"/>
        <item x="75"/>
        <item x="115"/>
        <item x="95"/>
        <item x="16"/>
        <item x="36"/>
        <item x="116"/>
        <item x="56"/>
        <item x="96"/>
        <item x="76"/>
        <item x="117"/>
        <item x="17"/>
        <item x="97"/>
        <item x="37"/>
        <item x="77"/>
        <item x="57"/>
        <item x="118"/>
        <item x="98"/>
        <item x="78"/>
        <item x="18"/>
        <item x="58"/>
        <item x="38"/>
        <item x="99"/>
        <item x="119"/>
        <item x="79"/>
        <item x="59"/>
        <item x="39"/>
        <item x="19"/>
        <item t="default"/>
      </items>
    </pivotField>
    <pivotField showAll="0"/>
    <pivotField showAll="0"/>
    <pivotField showAll="0">
      <items count="7">
        <item x="2"/>
        <item x="3"/>
        <item x="4"/>
        <item x="0"/>
        <item x="5"/>
        <item x="1"/>
        <item t="default"/>
      </items>
    </pivotField>
    <pivotField showAll="0">
      <items count="6">
        <item x="1"/>
        <item x="0"/>
        <item x="2"/>
        <item x="4"/>
        <item x="3"/>
        <item t="default"/>
      </items>
    </pivotField>
    <pivotField axis="axisRow" showAll="0">
      <items count="7">
        <item x="5"/>
        <item x="0"/>
        <item x="1"/>
        <item x="2"/>
        <item x="3"/>
        <item x="4"/>
        <item t="default"/>
      </items>
    </pivotField>
    <pivotField showAll="0">
      <items count="9">
        <item x="1"/>
        <item x="6"/>
        <item x="7"/>
        <item x="5"/>
        <item x="4"/>
        <item x="0"/>
        <item x="2"/>
        <item x="3"/>
        <item t="default"/>
      </items>
    </pivotField>
    <pivotField showAll="0"/>
    <pivotField dataField="1" showAll="0"/>
    <pivotField dataField="1" showAll="0"/>
    <pivotField dataField="1" showAll="0"/>
    <pivotField dataField="1" showAll="0"/>
    <pivotField dataField="1" showAll="0"/>
    <pivotField showAll="0"/>
    <pivotField showAll="0"/>
    <pivotField showAll="0"/>
    <pivotField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umFmtId="165" showAll="0"/>
    <pivotField numFmtId="164" showAll="0">
      <items count="121">
        <item x="60"/>
        <item x="0"/>
        <item x="61"/>
        <item x="1"/>
        <item x="62"/>
        <item x="2"/>
        <item x="63"/>
        <item x="3"/>
        <item x="64"/>
        <item x="4"/>
        <item x="65"/>
        <item x="5"/>
        <item x="66"/>
        <item x="6"/>
        <item x="67"/>
        <item x="7"/>
        <item x="68"/>
        <item x="8"/>
        <item x="69"/>
        <item x="9"/>
        <item x="70"/>
        <item x="10"/>
        <item x="71"/>
        <item x="11"/>
        <item x="72"/>
        <item x="12"/>
        <item x="73"/>
        <item x="13"/>
        <item x="74"/>
        <item x="14"/>
        <item x="75"/>
        <item x="15"/>
        <item x="76"/>
        <item x="16"/>
        <item x="77"/>
        <item x="17"/>
        <item x="78"/>
        <item x="18"/>
        <item x="79"/>
        <item x="19"/>
        <item x="80"/>
        <item x="20"/>
        <item x="81"/>
        <item x="21"/>
        <item x="82"/>
        <item x="22"/>
        <item x="83"/>
        <item x="23"/>
        <item x="84"/>
        <item x="24"/>
        <item x="85"/>
        <item x="25"/>
        <item x="86"/>
        <item x="26"/>
        <item x="87"/>
        <item x="27"/>
        <item x="88"/>
        <item x="28"/>
        <item x="89"/>
        <item x="29"/>
        <item x="90"/>
        <item x="30"/>
        <item x="91"/>
        <item x="31"/>
        <item x="92"/>
        <item x="32"/>
        <item x="93"/>
        <item x="33"/>
        <item x="94"/>
        <item x="34"/>
        <item x="95"/>
        <item x="35"/>
        <item x="96"/>
        <item x="36"/>
        <item x="97"/>
        <item x="37"/>
        <item x="98"/>
        <item x="38"/>
        <item x="99"/>
        <item x="39"/>
        <item x="100"/>
        <item x="40"/>
        <item x="101"/>
        <item x="41"/>
        <item x="102"/>
        <item x="42"/>
        <item x="103"/>
        <item x="43"/>
        <item x="104"/>
        <item x="44"/>
        <item x="105"/>
        <item x="45"/>
        <item x="106"/>
        <item x="46"/>
        <item x="107"/>
        <item x="47"/>
        <item x="108"/>
        <item x="48"/>
        <item x="109"/>
        <item x="49"/>
        <item x="110"/>
        <item x="50"/>
        <item x="111"/>
        <item x="51"/>
        <item x="112"/>
        <item x="52"/>
        <item x="113"/>
        <item x="53"/>
        <item x="114"/>
        <item x="54"/>
        <item x="115"/>
        <item x="55"/>
        <item x="116"/>
        <item x="56"/>
        <item x="117"/>
        <item x="57"/>
        <item x="118"/>
        <item x="58"/>
        <item x="119"/>
        <item x="59"/>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x="1"/>
        <item sd="0" x="2"/>
        <item sd="0" x="3"/>
        <item sd="0" x="4"/>
        <item sd="0" x="5"/>
        <item sd="0" x="6"/>
        <item t="default"/>
      </items>
    </pivotField>
  </pivotFields>
  <rowFields count="1">
    <field x="6"/>
  </rowFields>
  <rowItems count="7">
    <i>
      <x/>
    </i>
    <i>
      <x v="1"/>
    </i>
    <i>
      <x v="2"/>
    </i>
    <i>
      <x v="3"/>
    </i>
    <i>
      <x v="4"/>
    </i>
    <i>
      <x v="5"/>
    </i>
    <i t="grand">
      <x/>
    </i>
  </rowItems>
  <colFields count="1">
    <field x="-2"/>
  </colFields>
  <colItems count="5">
    <i>
      <x/>
    </i>
    <i i="1">
      <x v="1"/>
    </i>
    <i i="2">
      <x v="2"/>
    </i>
    <i i="3">
      <x v="3"/>
    </i>
    <i i="4">
      <x v="4"/>
    </i>
  </colItems>
  <dataFields count="5">
    <dataField name="Average of Maths_Marks" fld="9" subtotal="average" baseField="6" baseItem="0"/>
    <dataField name="Average of SQL_Marks" fld="10" subtotal="average" baseField="6" baseItem="0"/>
    <dataField name="Average of Python_Marks" fld="11" subtotal="average" baseField="6" baseItem="0"/>
    <dataField name="Average of Excel_Marks" fld="12" subtotal="average" baseField="6" baseItem="0"/>
    <dataField name="Average of Communication_Marks" fld="13" subtotal="average" baseField="6" baseItem="0"/>
  </dataFields>
  <chartFormats count="5">
    <chartFormat chart="23" format="37" series="1">
      <pivotArea type="data" outline="0" fieldPosition="0">
        <references count="1">
          <reference field="4294967294" count="1" selected="0">
            <x v="1"/>
          </reference>
        </references>
      </pivotArea>
    </chartFormat>
    <chartFormat chart="23" format="38" series="1">
      <pivotArea type="data" outline="0" fieldPosition="0">
        <references count="1">
          <reference field="4294967294" count="1" selected="0">
            <x v="2"/>
          </reference>
        </references>
      </pivotArea>
    </chartFormat>
    <chartFormat chart="23" format="39" series="1">
      <pivotArea type="data" outline="0" fieldPosition="0">
        <references count="1">
          <reference field="4294967294" count="1" selected="0">
            <x v="4"/>
          </reference>
        </references>
      </pivotArea>
    </chartFormat>
    <chartFormat chart="23" format="40" series="1">
      <pivotArea type="data" outline="0" fieldPosition="0">
        <references count="1">
          <reference field="4294967294" count="1" selected="0">
            <x v="0"/>
          </reference>
        </references>
      </pivotArea>
    </chartFormat>
    <chartFormat chart="23" format="4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415295-93A9-440E-A107-E5AEBCEA892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23">
    <pivotField showAll="0"/>
    <pivotField showAll="0"/>
    <pivotField showAll="0"/>
    <pivotField showAll="0"/>
    <pivotField showAll="0">
      <items count="7">
        <item x="2"/>
        <item x="3"/>
        <item x="4"/>
        <item x="0"/>
        <item x="5"/>
        <item x="1"/>
        <item t="default"/>
      </items>
    </pivotField>
    <pivotField showAll="0">
      <items count="6">
        <item x="1"/>
        <item x="0"/>
        <item x="2"/>
        <item x="4"/>
        <item x="3"/>
        <item t="default"/>
      </items>
    </pivotField>
    <pivotField showAll="0">
      <items count="7">
        <item x="5"/>
        <item x="0"/>
        <item x="1"/>
        <item x="2"/>
        <item x="3"/>
        <item x="4"/>
        <item t="default"/>
      </items>
    </pivotField>
    <pivotField showAll="0">
      <items count="9">
        <item x="1"/>
        <item x="6"/>
        <item x="7"/>
        <item x="5"/>
        <item x="4"/>
        <item x="0"/>
        <item x="2"/>
        <item x="3"/>
        <item t="default"/>
      </items>
    </pivotField>
    <pivotField showAll="0"/>
    <pivotField showAll="0"/>
    <pivotField showAll="0"/>
    <pivotField showAll="0"/>
    <pivotField showAll="0"/>
    <pivotField showAll="0"/>
    <pivotField dataField="1" showAll="0"/>
    <pivotField showAll="0"/>
    <pivotField showAll="0"/>
    <pivotField showAll="0"/>
    <pivotField numFmtId="165" showAll="0"/>
    <pivotField numFmtId="164" showAll="0">
      <items count="121">
        <item x="60"/>
        <item x="0"/>
        <item x="61"/>
        <item x="1"/>
        <item x="62"/>
        <item x="2"/>
        <item x="63"/>
        <item x="3"/>
        <item x="64"/>
        <item x="4"/>
        <item x="65"/>
        <item x="5"/>
        <item x="66"/>
        <item x="6"/>
        <item x="67"/>
        <item x="7"/>
        <item x="68"/>
        <item x="8"/>
        <item x="69"/>
        <item x="9"/>
        <item x="70"/>
        <item x="10"/>
        <item x="71"/>
        <item x="11"/>
        <item x="72"/>
        <item x="12"/>
        <item x="73"/>
        <item x="13"/>
        <item x="74"/>
        <item x="14"/>
        <item x="75"/>
        <item x="15"/>
        <item x="76"/>
        <item x="16"/>
        <item x="77"/>
        <item x="17"/>
        <item x="78"/>
        <item x="18"/>
        <item x="79"/>
        <item x="19"/>
        <item x="80"/>
        <item x="20"/>
        <item x="81"/>
        <item x="21"/>
        <item x="82"/>
        <item x="22"/>
        <item x="83"/>
        <item x="23"/>
        <item x="84"/>
        <item x="24"/>
        <item x="85"/>
        <item x="25"/>
        <item x="86"/>
        <item x="26"/>
        <item x="87"/>
        <item x="27"/>
        <item x="88"/>
        <item x="28"/>
        <item x="89"/>
        <item x="29"/>
        <item x="90"/>
        <item x="30"/>
        <item x="91"/>
        <item x="31"/>
        <item x="92"/>
        <item x="32"/>
        <item x="93"/>
        <item x="33"/>
        <item x="94"/>
        <item x="34"/>
        <item x="95"/>
        <item x="35"/>
        <item x="96"/>
        <item x="36"/>
        <item x="97"/>
        <item x="37"/>
        <item x="98"/>
        <item x="38"/>
        <item x="99"/>
        <item x="39"/>
        <item x="100"/>
        <item x="40"/>
        <item x="101"/>
        <item x="41"/>
        <item x="102"/>
        <item x="42"/>
        <item x="103"/>
        <item x="43"/>
        <item x="104"/>
        <item x="44"/>
        <item x="105"/>
        <item x="45"/>
        <item x="106"/>
        <item x="46"/>
        <item x="107"/>
        <item x="47"/>
        <item x="108"/>
        <item x="48"/>
        <item x="109"/>
        <item x="49"/>
        <item x="110"/>
        <item x="50"/>
        <item x="111"/>
        <item x="51"/>
        <item x="112"/>
        <item x="52"/>
        <item x="113"/>
        <item x="53"/>
        <item x="114"/>
        <item x="54"/>
        <item x="115"/>
        <item x="55"/>
        <item x="116"/>
        <item x="56"/>
        <item x="117"/>
        <item x="57"/>
        <item x="118"/>
        <item x="58"/>
        <item x="119"/>
        <item x="5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Average of Average_Marks" fld="1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043022-F43E-4BE3-AF86-DB0D700C5A8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0:B13" firstHeaderRow="1" firstDataRow="1" firstDataCol="1"/>
  <pivotFields count="23">
    <pivotField dataField="1" showAll="0"/>
    <pivotField showAll="0"/>
    <pivotField showAll="0"/>
    <pivotField showAll="0"/>
    <pivotField showAll="0">
      <items count="7">
        <item x="2"/>
        <item x="3"/>
        <item x="4"/>
        <item x="0"/>
        <item x="5"/>
        <item x="1"/>
        <item t="default"/>
      </items>
    </pivotField>
    <pivotField showAll="0">
      <items count="6">
        <item x="1"/>
        <item x="0"/>
        <item x="2"/>
        <item x="4"/>
        <item x="3"/>
        <item t="default"/>
      </items>
    </pivotField>
    <pivotField showAll="0">
      <items count="7">
        <item x="5"/>
        <item x="0"/>
        <item x="1"/>
        <item x="2"/>
        <item x="3"/>
        <item x="4"/>
        <item t="default"/>
      </items>
    </pivotField>
    <pivotField showAll="0">
      <items count="9">
        <item x="1"/>
        <item x="6"/>
        <item x="7"/>
        <item x="5"/>
        <item x="4"/>
        <item x="0"/>
        <item x="2"/>
        <item x="3"/>
        <item t="default"/>
      </items>
    </pivotField>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numFmtId="165" showAll="0"/>
    <pivotField numFmtId="164" showAll="0">
      <items count="121">
        <item x="60"/>
        <item x="0"/>
        <item x="61"/>
        <item x="1"/>
        <item x="62"/>
        <item x="2"/>
        <item x="63"/>
        <item x="3"/>
        <item x="64"/>
        <item x="4"/>
        <item x="65"/>
        <item x="5"/>
        <item x="66"/>
        <item x="6"/>
        <item x="67"/>
        <item x="7"/>
        <item x="68"/>
        <item x="8"/>
        <item x="69"/>
        <item x="9"/>
        <item x="70"/>
        <item x="10"/>
        <item x="71"/>
        <item x="11"/>
        <item x="72"/>
        <item x="12"/>
        <item x="73"/>
        <item x="13"/>
        <item x="74"/>
        <item x="14"/>
        <item x="75"/>
        <item x="15"/>
        <item x="76"/>
        <item x="16"/>
        <item x="77"/>
        <item x="17"/>
        <item x="78"/>
        <item x="18"/>
        <item x="79"/>
        <item x="19"/>
        <item x="80"/>
        <item x="20"/>
        <item x="81"/>
        <item x="21"/>
        <item x="82"/>
        <item x="22"/>
        <item x="83"/>
        <item x="23"/>
        <item x="84"/>
        <item x="24"/>
        <item x="85"/>
        <item x="25"/>
        <item x="86"/>
        <item x="26"/>
        <item x="87"/>
        <item x="27"/>
        <item x="88"/>
        <item x="28"/>
        <item x="89"/>
        <item x="29"/>
        <item x="90"/>
        <item x="30"/>
        <item x="91"/>
        <item x="31"/>
        <item x="92"/>
        <item x="32"/>
        <item x="93"/>
        <item x="33"/>
        <item x="94"/>
        <item x="34"/>
        <item x="95"/>
        <item x="35"/>
        <item x="96"/>
        <item x="36"/>
        <item x="97"/>
        <item x="37"/>
        <item x="98"/>
        <item x="38"/>
        <item x="99"/>
        <item x="39"/>
        <item x="100"/>
        <item x="40"/>
        <item x="101"/>
        <item x="41"/>
        <item x="102"/>
        <item x="42"/>
        <item x="103"/>
        <item x="43"/>
        <item x="104"/>
        <item x="44"/>
        <item x="105"/>
        <item x="45"/>
        <item x="106"/>
        <item x="46"/>
        <item x="107"/>
        <item x="47"/>
        <item x="108"/>
        <item x="48"/>
        <item x="109"/>
        <item x="49"/>
        <item x="110"/>
        <item x="50"/>
        <item x="111"/>
        <item x="51"/>
        <item x="112"/>
        <item x="52"/>
        <item x="113"/>
        <item x="53"/>
        <item x="114"/>
        <item x="54"/>
        <item x="115"/>
        <item x="55"/>
        <item x="116"/>
        <item x="56"/>
        <item x="117"/>
        <item x="57"/>
        <item x="118"/>
        <item x="58"/>
        <item x="119"/>
        <item x="5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3">
    <i>
      <x/>
    </i>
    <i>
      <x v="1"/>
    </i>
    <i t="grand">
      <x/>
    </i>
  </rowItems>
  <colItems count="1">
    <i/>
  </colItems>
  <dataFields count="1">
    <dataField name="Count of Student_ID" fld="0" subtotal="count" baseField="15" baseItem="0"/>
  </dataFields>
  <chartFormats count="6">
    <chartFormat chart="18" format="1" series="1">
      <pivotArea type="data" outline="0" fieldPosition="0">
        <references count="1">
          <reference field="4294967294" count="1" selected="0">
            <x v="0"/>
          </reference>
        </references>
      </pivotArea>
    </chartFormat>
    <chartFormat chart="18" format="2">
      <pivotArea type="data" outline="0" fieldPosition="0">
        <references count="2">
          <reference field="4294967294" count="1" selected="0">
            <x v="0"/>
          </reference>
          <reference field="15" count="1" selected="0">
            <x v="0"/>
          </reference>
        </references>
      </pivotArea>
    </chartFormat>
    <chartFormat chart="18" format="3">
      <pivotArea type="data" outline="0" fieldPosition="0">
        <references count="2">
          <reference field="4294967294" count="1" selected="0">
            <x v="0"/>
          </reference>
          <reference field="15" count="1" selected="0">
            <x v="1"/>
          </reference>
        </references>
      </pivotArea>
    </chartFormat>
    <chartFormat chart="3" format="19" series="1">
      <pivotArea type="data" outline="0" fieldPosition="0">
        <references count="1">
          <reference field="4294967294" count="1" selected="0">
            <x v="0"/>
          </reference>
        </references>
      </pivotArea>
    </chartFormat>
    <chartFormat chart="3" format="20">
      <pivotArea type="data" outline="0" fieldPosition="0">
        <references count="2">
          <reference field="4294967294" count="1" selected="0">
            <x v="0"/>
          </reference>
          <reference field="15" count="1" selected="0">
            <x v="0"/>
          </reference>
        </references>
      </pivotArea>
    </chartFormat>
    <chartFormat chart="3" format="2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CA7A97-F0F6-4F77-88FE-C8B59D21EDF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D8" firstHeaderRow="0" firstDataRow="1" firstDataCol="1"/>
  <pivotFields count="23">
    <pivotField showAll="0"/>
    <pivotField showAll="0"/>
    <pivotField showAll="0"/>
    <pivotField showAll="0"/>
    <pivotField showAll="0">
      <items count="7">
        <item x="2"/>
        <item x="3"/>
        <item x="4"/>
        <item x="0"/>
        <item x="5"/>
        <item x="1"/>
        <item t="default"/>
      </items>
    </pivotField>
    <pivotField axis="axisRow" showAll="0">
      <items count="6">
        <item x="1"/>
        <item x="0"/>
        <item x="2"/>
        <item x="4"/>
        <item x="3"/>
        <item t="default"/>
      </items>
    </pivotField>
    <pivotField showAll="0">
      <items count="7">
        <item x="5"/>
        <item x="0"/>
        <item x="1"/>
        <item x="2"/>
        <item x="3"/>
        <item x="4"/>
        <item t="default"/>
      </items>
    </pivotField>
    <pivotField showAll="0">
      <items count="9">
        <item x="1"/>
        <item x="6"/>
        <item x="7"/>
        <item x="5"/>
        <item x="4"/>
        <item x="0"/>
        <item x="2"/>
        <item x="3"/>
        <item t="default"/>
      </items>
    </pivotField>
    <pivotField showAll="0"/>
    <pivotField showAll="0"/>
    <pivotField dataField="1" showAll="0"/>
    <pivotField dataField="1" showAll="0"/>
    <pivotField dataField="1" showAll="0"/>
    <pivotField showAll="0"/>
    <pivotField showAll="0"/>
    <pivotField showAll="0"/>
    <pivotField showAll="0"/>
    <pivotField showAll="0"/>
    <pivotField numFmtId="165" showAll="0"/>
    <pivotField numFmtId="164" showAll="0">
      <items count="121">
        <item x="60"/>
        <item x="0"/>
        <item x="61"/>
        <item x="1"/>
        <item x="62"/>
        <item x="2"/>
        <item x="63"/>
        <item x="3"/>
        <item x="64"/>
        <item x="4"/>
        <item x="65"/>
        <item x="5"/>
        <item x="66"/>
        <item x="6"/>
        <item x="67"/>
        <item x="7"/>
        <item x="68"/>
        <item x="8"/>
        <item x="69"/>
        <item x="9"/>
        <item x="70"/>
        <item x="10"/>
        <item x="71"/>
        <item x="11"/>
        <item x="72"/>
        <item x="12"/>
        <item x="73"/>
        <item x="13"/>
        <item x="74"/>
        <item x="14"/>
        <item x="75"/>
        <item x="15"/>
        <item x="76"/>
        <item x="16"/>
        <item x="77"/>
        <item x="17"/>
        <item x="78"/>
        <item x="18"/>
        <item x="79"/>
        <item x="19"/>
        <item x="80"/>
        <item x="20"/>
        <item x="81"/>
        <item x="21"/>
        <item x="82"/>
        <item x="22"/>
        <item x="83"/>
        <item x="23"/>
        <item x="84"/>
        <item x="24"/>
        <item x="85"/>
        <item x="25"/>
        <item x="86"/>
        <item x="26"/>
        <item x="87"/>
        <item x="27"/>
        <item x="88"/>
        <item x="28"/>
        <item x="89"/>
        <item x="29"/>
        <item x="90"/>
        <item x="30"/>
        <item x="91"/>
        <item x="31"/>
        <item x="92"/>
        <item x="32"/>
        <item x="93"/>
        <item x="33"/>
        <item x="94"/>
        <item x="34"/>
        <item x="95"/>
        <item x="35"/>
        <item x="96"/>
        <item x="36"/>
        <item x="97"/>
        <item x="37"/>
        <item x="98"/>
        <item x="38"/>
        <item x="99"/>
        <item x="39"/>
        <item x="100"/>
        <item x="40"/>
        <item x="101"/>
        <item x="41"/>
        <item x="102"/>
        <item x="42"/>
        <item x="103"/>
        <item x="43"/>
        <item x="104"/>
        <item x="44"/>
        <item x="105"/>
        <item x="45"/>
        <item x="106"/>
        <item x="46"/>
        <item x="107"/>
        <item x="47"/>
        <item x="108"/>
        <item x="48"/>
        <item x="109"/>
        <item x="49"/>
        <item x="110"/>
        <item x="50"/>
        <item x="111"/>
        <item x="51"/>
        <item x="112"/>
        <item x="52"/>
        <item x="113"/>
        <item x="53"/>
        <item x="114"/>
        <item x="54"/>
        <item x="115"/>
        <item x="55"/>
        <item x="116"/>
        <item x="56"/>
        <item x="117"/>
        <item x="57"/>
        <item x="118"/>
        <item x="58"/>
        <item x="119"/>
        <item x="5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6">
    <i>
      <x/>
    </i>
    <i>
      <x v="1"/>
    </i>
    <i>
      <x v="2"/>
    </i>
    <i>
      <x v="3"/>
    </i>
    <i>
      <x v="4"/>
    </i>
    <i t="grand">
      <x/>
    </i>
  </rowItems>
  <colFields count="1">
    <field x="-2"/>
  </colFields>
  <colItems count="3">
    <i>
      <x/>
    </i>
    <i i="1">
      <x v="1"/>
    </i>
    <i i="2">
      <x v="2"/>
    </i>
  </colItems>
  <dataFields count="3">
    <dataField name="Average of SQL_Marks" fld="10" subtotal="average" baseField="5" baseItem="0"/>
    <dataField name="Average of Python_Marks" fld="11" subtotal="average" baseField="5" baseItem="0"/>
    <dataField name="Average of Excel_Marks" fld="12" subtotal="average" baseField="5" baseItem="0"/>
  </dataFields>
  <chartFormats count="3">
    <chartFormat chart="3" format="16" series="1">
      <pivotArea type="data" outline="0" fieldPosition="0">
        <references count="1">
          <reference field="4294967294" count="1" selected="0">
            <x v="0"/>
          </reference>
        </references>
      </pivotArea>
    </chartFormat>
    <chartFormat chart="3" format="17" series="1">
      <pivotArea type="data" outline="0" fieldPosition="0">
        <references count="1">
          <reference field="4294967294" count="1" selected="0">
            <x v="1"/>
          </reference>
        </references>
      </pivotArea>
    </chartFormat>
    <chartFormat chart="3" format="1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334662-D453-4BC7-A073-E2D2673BD25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7:B33" firstHeaderRow="1" firstDataRow="1" firstDataCol="1"/>
  <pivotFields count="23">
    <pivotField showAll="0"/>
    <pivotField showAll="0"/>
    <pivotField showAll="0"/>
    <pivotField showAll="0"/>
    <pivotField showAll="0">
      <items count="7">
        <item x="2"/>
        <item x="3"/>
        <item x="4"/>
        <item x="0"/>
        <item x="5"/>
        <item x="1"/>
        <item t="default"/>
      </items>
    </pivotField>
    <pivotField axis="axisRow" showAll="0">
      <items count="6">
        <item x="1"/>
        <item x="0"/>
        <item x="2"/>
        <item x="4"/>
        <item x="3"/>
        <item t="default"/>
      </items>
    </pivotField>
    <pivotField showAll="0">
      <items count="7">
        <item x="5"/>
        <item x="0"/>
        <item x="1"/>
        <item x="2"/>
        <item x="3"/>
        <item x="4"/>
        <item t="default"/>
      </items>
    </pivotField>
    <pivotField showAll="0">
      <items count="9">
        <item x="1"/>
        <item x="6"/>
        <item x="7"/>
        <item x="5"/>
        <item x="4"/>
        <item x="0"/>
        <item x="2"/>
        <item x="3"/>
        <item t="default"/>
      </items>
    </pivotField>
    <pivotField dataField="1" showAll="0">
      <items count="42">
        <item x="40"/>
        <item x="5"/>
        <item x="11"/>
        <item x="17"/>
        <item x="23"/>
        <item x="29"/>
        <item x="35"/>
        <item x="0"/>
        <item x="6"/>
        <item x="12"/>
        <item x="18"/>
        <item x="24"/>
        <item x="30"/>
        <item x="36"/>
        <item x="1"/>
        <item x="7"/>
        <item x="13"/>
        <item x="19"/>
        <item x="25"/>
        <item x="31"/>
        <item x="37"/>
        <item x="2"/>
        <item x="8"/>
        <item x="14"/>
        <item x="20"/>
        <item x="26"/>
        <item x="32"/>
        <item x="38"/>
        <item x="3"/>
        <item x="9"/>
        <item x="15"/>
        <item x="21"/>
        <item x="27"/>
        <item x="33"/>
        <item x="39"/>
        <item x="4"/>
        <item x="10"/>
        <item x="16"/>
        <item x="22"/>
        <item x="28"/>
        <item x="34"/>
        <item t="default"/>
      </items>
    </pivotField>
    <pivotField showAll="0"/>
    <pivotField showAll="0"/>
    <pivotField showAll="0"/>
    <pivotField showAll="0"/>
    <pivotField showAll="0"/>
    <pivotField showAll="0"/>
    <pivotField showAll="0"/>
    <pivotField showAll="0"/>
    <pivotField showAll="0"/>
    <pivotField numFmtId="165" showAll="0"/>
    <pivotField numFmtId="164" showAll="0">
      <items count="121">
        <item x="60"/>
        <item x="0"/>
        <item x="61"/>
        <item x="1"/>
        <item x="62"/>
        <item x="2"/>
        <item x="63"/>
        <item x="3"/>
        <item x="64"/>
        <item x="4"/>
        <item x="65"/>
        <item x="5"/>
        <item x="66"/>
        <item x="6"/>
        <item x="67"/>
        <item x="7"/>
        <item x="68"/>
        <item x="8"/>
        <item x="69"/>
        <item x="9"/>
        <item x="70"/>
        <item x="10"/>
        <item x="71"/>
        <item x="11"/>
        <item x="72"/>
        <item x="12"/>
        <item x="73"/>
        <item x="13"/>
        <item x="74"/>
        <item x="14"/>
        <item x="75"/>
        <item x="15"/>
        <item x="76"/>
        <item x="16"/>
        <item x="77"/>
        <item x="17"/>
        <item x="78"/>
        <item x="18"/>
        <item x="79"/>
        <item x="19"/>
        <item x="80"/>
        <item x="20"/>
        <item x="81"/>
        <item x="21"/>
        <item x="82"/>
        <item x="22"/>
        <item x="83"/>
        <item x="23"/>
        <item x="84"/>
        <item x="24"/>
        <item x="85"/>
        <item x="25"/>
        <item x="86"/>
        <item x="26"/>
        <item x="87"/>
        <item x="27"/>
        <item x="88"/>
        <item x="28"/>
        <item x="89"/>
        <item x="29"/>
        <item x="90"/>
        <item x="30"/>
        <item x="91"/>
        <item x="31"/>
        <item x="92"/>
        <item x="32"/>
        <item x="93"/>
        <item x="33"/>
        <item x="94"/>
        <item x="34"/>
        <item x="95"/>
        <item x="35"/>
        <item x="96"/>
        <item x="36"/>
        <item x="97"/>
        <item x="37"/>
        <item x="98"/>
        <item x="38"/>
        <item x="99"/>
        <item x="39"/>
        <item x="100"/>
        <item x="40"/>
        <item x="101"/>
        <item x="41"/>
        <item x="102"/>
        <item x="42"/>
        <item x="103"/>
        <item x="43"/>
        <item x="104"/>
        <item x="44"/>
        <item x="105"/>
        <item x="45"/>
        <item x="106"/>
        <item x="46"/>
        <item x="107"/>
        <item x="47"/>
        <item x="108"/>
        <item x="48"/>
        <item x="109"/>
        <item x="49"/>
        <item x="110"/>
        <item x="50"/>
        <item x="111"/>
        <item x="51"/>
        <item x="112"/>
        <item x="52"/>
        <item x="113"/>
        <item x="53"/>
        <item x="114"/>
        <item x="54"/>
        <item x="115"/>
        <item x="55"/>
        <item x="116"/>
        <item x="56"/>
        <item x="117"/>
        <item x="57"/>
        <item x="118"/>
        <item x="58"/>
        <item x="119"/>
        <item x="59"/>
        <item t="default"/>
      </items>
    </pivotField>
    <pivotField showAll="0" defaultSubtotal="0"/>
    <pivotField showAll="0" defaultSubtotal="0"/>
    <pivotField showAll="0" defaultSubtotal="0">
      <items count="7">
        <item x="0"/>
        <item x="1"/>
        <item x="2"/>
        <item x="3"/>
        <item x="4"/>
        <item x="5"/>
        <item x="6"/>
      </items>
    </pivotField>
  </pivotFields>
  <rowFields count="1">
    <field x="5"/>
  </rowFields>
  <rowItems count="6">
    <i>
      <x/>
    </i>
    <i>
      <x v="1"/>
    </i>
    <i>
      <x v="2"/>
    </i>
    <i>
      <x v="3"/>
    </i>
    <i>
      <x v="4"/>
    </i>
    <i t="grand">
      <x/>
    </i>
  </rowItems>
  <colItems count="1">
    <i/>
  </colItems>
  <dataFields count="1">
    <dataField name="Average of Attendance_Percent" fld="8" subtotal="average" baseField="5" baseItem="0"/>
  </dataFields>
  <chartFormats count="1">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C4DF9C-625C-4D25-AAF7-4F3C4107677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H8" firstHeaderRow="1" firstDataRow="1" firstDataCol="0"/>
  <pivotFields count="23">
    <pivotField showAll="0"/>
    <pivotField showAll="0"/>
    <pivotField showAll="0"/>
    <pivotField showAll="0"/>
    <pivotField showAll="0">
      <items count="7">
        <item x="2"/>
        <item x="3"/>
        <item x="4"/>
        <item x="0"/>
        <item x="5"/>
        <item x="1"/>
        <item t="default"/>
      </items>
    </pivotField>
    <pivotField showAll="0">
      <items count="6">
        <item x="1"/>
        <item x="0"/>
        <item x="2"/>
        <item x="4"/>
        <item x="3"/>
        <item t="default"/>
      </items>
    </pivotField>
    <pivotField showAll="0">
      <items count="7">
        <item x="5"/>
        <item x="0"/>
        <item x="1"/>
        <item x="2"/>
        <item x="3"/>
        <item x="4"/>
        <item t="default"/>
      </items>
    </pivotField>
    <pivotField showAll="0">
      <items count="9">
        <item x="1"/>
        <item x="6"/>
        <item x="7"/>
        <item x="5"/>
        <item x="4"/>
        <item x="0"/>
        <item x="2"/>
        <item x="3"/>
        <item t="default"/>
      </items>
    </pivotField>
    <pivotField dataField="1" showAll="0"/>
    <pivotField showAll="0"/>
    <pivotField showAll="0"/>
    <pivotField showAll="0"/>
    <pivotField showAll="0"/>
    <pivotField showAll="0"/>
    <pivotField showAll="0"/>
    <pivotField showAll="0"/>
    <pivotField showAll="0"/>
    <pivotField showAll="0"/>
    <pivotField numFmtId="165" showAll="0"/>
    <pivotField numFmtId="164" showAll="0">
      <items count="121">
        <item x="60"/>
        <item x="0"/>
        <item x="61"/>
        <item x="1"/>
        <item x="62"/>
        <item x="2"/>
        <item x="63"/>
        <item x="3"/>
        <item x="64"/>
        <item x="4"/>
        <item x="65"/>
        <item x="5"/>
        <item x="66"/>
        <item x="6"/>
        <item x="67"/>
        <item x="7"/>
        <item x="68"/>
        <item x="8"/>
        <item x="69"/>
        <item x="9"/>
        <item x="70"/>
        <item x="10"/>
        <item x="71"/>
        <item x="11"/>
        <item x="72"/>
        <item x="12"/>
        <item x="73"/>
        <item x="13"/>
        <item x="74"/>
        <item x="14"/>
        <item x="75"/>
        <item x="15"/>
        <item x="76"/>
        <item x="16"/>
        <item x="77"/>
        <item x="17"/>
        <item x="78"/>
        <item x="18"/>
        <item x="79"/>
        <item x="19"/>
        <item x="80"/>
        <item x="20"/>
        <item x="81"/>
        <item x="21"/>
        <item x="82"/>
        <item x="22"/>
        <item x="83"/>
        <item x="23"/>
        <item x="84"/>
        <item x="24"/>
        <item x="85"/>
        <item x="25"/>
        <item x="86"/>
        <item x="26"/>
        <item x="87"/>
        <item x="27"/>
        <item x="88"/>
        <item x="28"/>
        <item x="89"/>
        <item x="29"/>
        <item x="90"/>
        <item x="30"/>
        <item x="91"/>
        <item x="31"/>
        <item x="92"/>
        <item x="32"/>
        <item x="93"/>
        <item x="33"/>
        <item x="94"/>
        <item x="34"/>
        <item x="95"/>
        <item x="35"/>
        <item x="96"/>
        <item x="36"/>
        <item x="97"/>
        <item x="37"/>
        <item x="98"/>
        <item x="38"/>
        <item x="99"/>
        <item x="39"/>
        <item x="100"/>
        <item x="40"/>
        <item x="101"/>
        <item x="41"/>
        <item x="102"/>
        <item x="42"/>
        <item x="103"/>
        <item x="43"/>
        <item x="104"/>
        <item x="44"/>
        <item x="105"/>
        <item x="45"/>
        <item x="106"/>
        <item x="46"/>
        <item x="107"/>
        <item x="47"/>
        <item x="108"/>
        <item x="48"/>
        <item x="109"/>
        <item x="49"/>
        <item x="110"/>
        <item x="50"/>
        <item x="111"/>
        <item x="51"/>
        <item x="112"/>
        <item x="52"/>
        <item x="113"/>
        <item x="53"/>
        <item x="114"/>
        <item x="54"/>
        <item x="115"/>
        <item x="55"/>
        <item x="116"/>
        <item x="56"/>
        <item x="117"/>
        <item x="57"/>
        <item x="118"/>
        <item x="58"/>
        <item x="119"/>
        <item x="5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Average of Attendance_Percent" fld="8" subtotal="average" baseField="0" baseItem="0" numFmtId="166"/>
  </dataFields>
  <formats count="1">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24596D-959B-4484-A0DA-D3E327720900}"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4:H15" firstHeaderRow="1" firstDataRow="1" firstDataCol="0"/>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Max of Average_Marks" fld="14"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mester" xr10:uid="{34AD53B7-9362-4BB5-B9E0-921D4C6621CB}" sourceName="Semester">
  <pivotTables>
    <pivotTable tabId="2" name="PivotTable1"/>
    <pivotTable tabId="2" name="PivotTable2"/>
    <pivotTable tabId="2" name="PivotTable3"/>
    <pivotTable tabId="2" name="PivotTable4"/>
    <pivotTable tabId="2" name="PivotTable7"/>
    <pivotTable tabId="2" name="PivotTable9"/>
    <pivotTable tabId="2" name="PivotTable5"/>
  </pivotTables>
  <data>
    <tabular pivotCacheId="1799939598">
      <items count="6">
        <i x="5" s="1"/>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BA12059-8760-4EE5-9D50-B51C7CC348C2}" sourceName="City">
  <pivotTables>
    <pivotTable tabId="2" name="PivotTable1"/>
    <pivotTable tabId="2" name="PivotTable2"/>
    <pivotTable tabId="2" name="PivotTable3"/>
    <pivotTable tabId="2" name="PivotTable4"/>
    <pivotTable tabId="2" name="PivotTable7"/>
    <pivotTable tabId="2" name="PivotTable9"/>
    <pivotTable tabId="2" name="PivotTable5"/>
  </pivotTables>
  <data>
    <tabular pivotCacheId="1799939598">
      <items count="8">
        <i x="1" s="1"/>
        <i x="6" s="1"/>
        <i x="7" s="1"/>
        <i x="5"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5D1382A-3588-4869-8A89-3C4C85A9059D}" sourceName="Department">
  <pivotTables>
    <pivotTable tabId="2" name="PivotTable1"/>
    <pivotTable tabId="2" name="PivotTable2"/>
    <pivotTable tabId="2" name="PivotTable3"/>
    <pivotTable tabId="2" name="PivotTable4"/>
    <pivotTable tabId="2" name="PivotTable7"/>
    <pivotTable tabId="2" name="PivotTable9"/>
    <pivotTable tabId="2" name="PivotTable5"/>
  </pivotTables>
  <data>
    <tabular pivotCacheId="1799939598">
      <items count="5">
        <i x="1" s="1"/>
        <i x="0" s="1"/>
        <i x="2"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 xr10:uid="{5A490B2C-0F7F-4B05-B874-02F31F89E208}" sourceName="Course">
  <pivotTables>
    <pivotTable tabId="2" name="PivotTable1"/>
    <pivotTable tabId="2" name="PivotTable2"/>
    <pivotTable tabId="2" name="PivotTable3"/>
    <pivotTable tabId="2" name="PivotTable4"/>
    <pivotTable tabId="2" name="PivotTable5"/>
    <pivotTable tabId="2" name="PivotTable7"/>
    <pivotTable tabId="2" name="PivotTable9"/>
  </pivotTables>
  <data>
    <tabular pivotCacheId="1799939598">
      <items count="6">
        <i x="2" s="1"/>
        <i x="3" s="1"/>
        <i x="4" s="1"/>
        <i x="0"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mester" xr10:uid="{57364565-0017-4F3F-9C19-6971450A77D2}" cache="Slicer_Semester" caption="Semester" rowHeight="234950"/>
  <slicer name="City" xr10:uid="{68A29A22-F5F3-4FE0-96B5-241AAC43C7FA}" cache="Slicer_City" caption="City" startItem="2" rowHeight="234950"/>
  <slicer name="Department" xr10:uid="{BE17B795-C2A8-4EEF-8B99-0595171B544E}" cache="Slicer_Department" caption="Department" startItem="1" rowHeight="234950"/>
  <slicer name="Course" xr10:uid="{EDC795EA-6C5E-4233-805E-8A00B38EDFCE}" cache="Slicer_Course" caption="Course" startItem="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49F345-667A-4B90-9ECE-737892991BAA}" name="Table1" displayName="Table1" ref="A1:Q121" totalsRowShown="0" headerRowDxfId="53" headerRowBorderDxfId="52" tableBorderDxfId="51">
  <tableColumns count="17">
    <tableColumn id="1" xr3:uid="{21258D5F-15AD-4AF4-A245-653AF1DA5C2C}" name="Student_ID"/>
    <tableColumn id="2" xr3:uid="{3D92453F-5984-48FD-B1B2-D52745DD9219}" name="Student_Name"/>
    <tableColumn id="3" xr3:uid="{A0AB7C5F-4421-44BB-89AD-AA8340A4B48B}" name="Age"/>
    <tableColumn id="4" xr3:uid="{8AF5328E-9466-48BE-A00A-72E35C87C38C}" name="Gender"/>
    <tableColumn id="5" xr3:uid="{4198AA78-7DC0-496D-8E28-D3F2A4B68A21}" name="Course"/>
    <tableColumn id="6" xr3:uid="{AC9615EE-A848-4206-B545-957C3EDD3C35}" name="Department"/>
    <tableColumn id="7" xr3:uid="{AEE9DADD-A6D4-4BFB-922E-EE00A5FD4720}" name="Semester"/>
    <tableColumn id="8" xr3:uid="{3FC09427-552F-4E20-BCB1-85310423DB6D}" name="City"/>
    <tableColumn id="9" xr3:uid="{92D546D3-EEC3-450B-B738-02BD58CEA45D}" name="Attendance_Percent"/>
    <tableColumn id="10" xr3:uid="{B061E35F-1411-4260-92B5-25FB6A4B2256}" name="Maths_Marks"/>
    <tableColumn id="11" xr3:uid="{3D4F4DD1-D162-472A-8DBF-5AEA8B223311}" name="SQL_Marks"/>
    <tableColumn id="12" xr3:uid="{9E29074C-9269-4D9A-A79F-7EE09ECF188F}" name="Python_Marks"/>
    <tableColumn id="13" xr3:uid="{09439033-F670-4236-A4B4-F4B77EE99C23}" name="Excel_Marks"/>
    <tableColumn id="14" xr3:uid="{E535EEA1-D464-4767-BDB7-9D90B9908FBF}" name="Communication_Marks"/>
    <tableColumn id="15" xr3:uid="{F198E744-1511-4B83-BE16-E4088F1B71D9}" name="Average_Marks"/>
    <tableColumn id="16" xr3:uid="{FDE227BF-AB61-4F6E-B58E-9E2E222A0F90}" name="Result_Status"/>
    <tableColumn id="18" xr3:uid="{21D4BEFE-188F-41B9-8FE5-EE148D9F3592}" name="Roll_Numb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Q121"/>
  <sheetViews>
    <sheetView topLeftCell="F1" workbookViewId="0">
      <pane ySplit="1" topLeftCell="A59" activePane="bottomLeft" state="frozen"/>
      <selection pane="bottomLeft" activeCell="U68" sqref="U68"/>
    </sheetView>
  </sheetViews>
  <sheetFormatPr defaultRowHeight="14.4" x14ac:dyDescent="0.3"/>
  <cols>
    <col min="1" max="1" width="12.33203125" customWidth="1"/>
    <col min="2" max="2" width="17" customWidth="1"/>
    <col min="3" max="4" width="12" customWidth="1"/>
    <col min="5" max="5" width="22" customWidth="1"/>
    <col min="6" max="6" width="18" customWidth="1"/>
    <col min="7" max="7" width="12" customWidth="1"/>
    <col min="8" max="8" width="13" customWidth="1"/>
    <col min="9" max="9" width="20.109375" customWidth="1"/>
    <col min="10" max="10" width="14.44140625" customWidth="1"/>
    <col min="11" max="11" width="12.33203125" customWidth="1"/>
    <col min="12" max="12" width="15.21875" customWidth="1"/>
    <col min="13" max="13" width="13.33203125" customWidth="1"/>
    <col min="14" max="14" width="22.5546875" customWidth="1"/>
    <col min="15" max="15" width="16" customWidth="1"/>
    <col min="16" max="16" width="19" customWidth="1"/>
    <col min="17" max="17" width="13.88671875" customWidth="1"/>
  </cols>
  <sheetData>
    <row r="1" spans="1:17" ht="31.9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v>1001</v>
      </c>
      <c r="B2" t="s">
        <v>17</v>
      </c>
      <c r="C2">
        <v>19</v>
      </c>
      <c r="D2" t="s">
        <v>18</v>
      </c>
      <c r="E2" t="s">
        <v>19</v>
      </c>
      <c r="F2" t="s">
        <v>20</v>
      </c>
      <c r="G2">
        <v>2</v>
      </c>
      <c r="H2" t="s">
        <v>21</v>
      </c>
      <c r="I2">
        <v>67</v>
      </c>
      <c r="J2">
        <v>46</v>
      </c>
      <c r="K2">
        <v>43</v>
      </c>
      <c r="L2">
        <v>49</v>
      </c>
      <c r="M2">
        <v>59</v>
      </c>
      <c r="N2">
        <v>54</v>
      </c>
      <c r="O2">
        <v>50.2</v>
      </c>
      <c r="P2" t="s">
        <v>22</v>
      </c>
      <c r="Q2" t="s">
        <v>23</v>
      </c>
    </row>
    <row r="3" spans="1:17" x14ac:dyDescent="0.3">
      <c r="A3">
        <v>1002</v>
      </c>
      <c r="B3" t="s">
        <v>24</v>
      </c>
      <c r="C3">
        <v>20</v>
      </c>
      <c r="D3" t="s">
        <v>25</v>
      </c>
      <c r="E3" t="s">
        <v>26</v>
      </c>
      <c r="F3" t="s">
        <v>27</v>
      </c>
      <c r="G3">
        <v>3</v>
      </c>
      <c r="H3" t="s">
        <v>28</v>
      </c>
      <c r="I3">
        <v>74</v>
      </c>
      <c r="J3">
        <v>57</v>
      </c>
      <c r="K3">
        <v>56</v>
      </c>
      <c r="L3">
        <v>66</v>
      </c>
      <c r="M3">
        <v>78</v>
      </c>
      <c r="N3">
        <v>63</v>
      </c>
      <c r="O3">
        <v>64</v>
      </c>
      <c r="P3" t="s">
        <v>22</v>
      </c>
      <c r="Q3" t="s">
        <v>29</v>
      </c>
    </row>
    <row r="4" spans="1:17" x14ac:dyDescent="0.3">
      <c r="A4">
        <v>1003</v>
      </c>
      <c r="B4" t="s">
        <v>30</v>
      </c>
      <c r="C4">
        <v>21</v>
      </c>
      <c r="D4" t="s">
        <v>18</v>
      </c>
      <c r="E4" t="s">
        <v>19</v>
      </c>
      <c r="F4" t="s">
        <v>31</v>
      </c>
      <c r="G4">
        <v>4</v>
      </c>
      <c r="H4" t="s">
        <v>32</v>
      </c>
      <c r="I4">
        <v>81</v>
      </c>
      <c r="J4">
        <v>68</v>
      </c>
      <c r="K4">
        <v>69</v>
      </c>
      <c r="L4">
        <v>83</v>
      </c>
      <c r="M4">
        <v>97</v>
      </c>
      <c r="N4">
        <v>72</v>
      </c>
      <c r="O4">
        <v>77.8</v>
      </c>
      <c r="P4" t="s">
        <v>22</v>
      </c>
      <c r="Q4" t="s">
        <v>33</v>
      </c>
    </row>
    <row r="5" spans="1:17" x14ac:dyDescent="0.3">
      <c r="A5">
        <v>1004</v>
      </c>
      <c r="B5" t="s">
        <v>34</v>
      </c>
      <c r="C5">
        <v>22</v>
      </c>
      <c r="D5" t="s">
        <v>25</v>
      </c>
      <c r="E5" t="s">
        <v>26</v>
      </c>
      <c r="F5" t="s">
        <v>35</v>
      </c>
      <c r="G5">
        <v>5</v>
      </c>
      <c r="H5" t="s">
        <v>36</v>
      </c>
      <c r="I5">
        <v>88</v>
      </c>
      <c r="J5">
        <v>79</v>
      </c>
      <c r="K5">
        <v>82</v>
      </c>
      <c r="L5">
        <v>100</v>
      </c>
      <c r="M5">
        <v>55</v>
      </c>
      <c r="N5">
        <v>81</v>
      </c>
      <c r="O5">
        <v>79.400000000000006</v>
      </c>
      <c r="P5" t="s">
        <v>22</v>
      </c>
      <c r="Q5" t="s">
        <v>37</v>
      </c>
    </row>
    <row r="6" spans="1:17" x14ac:dyDescent="0.3">
      <c r="A6">
        <v>1005</v>
      </c>
      <c r="B6" t="s">
        <v>38</v>
      </c>
      <c r="C6">
        <v>23</v>
      </c>
      <c r="D6" t="s">
        <v>18</v>
      </c>
      <c r="E6" t="s">
        <v>19</v>
      </c>
      <c r="F6" t="s">
        <v>39</v>
      </c>
      <c r="G6">
        <v>6</v>
      </c>
      <c r="H6" t="s">
        <v>40</v>
      </c>
      <c r="I6">
        <v>95</v>
      </c>
      <c r="J6">
        <v>90</v>
      </c>
      <c r="K6">
        <v>95</v>
      </c>
      <c r="L6">
        <v>48</v>
      </c>
      <c r="M6">
        <v>74</v>
      </c>
      <c r="N6">
        <v>90</v>
      </c>
      <c r="O6">
        <v>79.400000000000006</v>
      </c>
      <c r="P6" t="s">
        <v>22</v>
      </c>
      <c r="Q6" t="s">
        <v>41</v>
      </c>
    </row>
    <row r="7" spans="1:17" x14ac:dyDescent="0.3">
      <c r="A7">
        <v>1006</v>
      </c>
      <c r="B7" t="s">
        <v>42</v>
      </c>
      <c r="C7">
        <v>24</v>
      </c>
      <c r="D7" t="s">
        <v>25</v>
      </c>
      <c r="E7" t="s">
        <v>26</v>
      </c>
      <c r="F7" t="s">
        <v>20</v>
      </c>
      <c r="G7">
        <v>1</v>
      </c>
      <c r="H7" t="s">
        <v>43</v>
      </c>
      <c r="I7">
        <v>61</v>
      </c>
      <c r="J7">
        <v>35</v>
      </c>
      <c r="K7">
        <v>37</v>
      </c>
      <c r="L7">
        <v>65</v>
      </c>
      <c r="M7">
        <v>93</v>
      </c>
      <c r="N7">
        <v>99</v>
      </c>
      <c r="O7">
        <v>65.8</v>
      </c>
      <c r="P7" t="s">
        <v>22</v>
      </c>
      <c r="Q7" t="s">
        <v>44</v>
      </c>
    </row>
    <row r="8" spans="1:17" x14ac:dyDescent="0.3">
      <c r="A8">
        <v>1007</v>
      </c>
      <c r="B8" t="s">
        <v>45</v>
      </c>
      <c r="C8">
        <v>25</v>
      </c>
      <c r="D8" t="s">
        <v>18</v>
      </c>
      <c r="E8" t="s">
        <v>46</v>
      </c>
      <c r="F8" t="s">
        <v>27</v>
      </c>
      <c r="G8">
        <v>2</v>
      </c>
      <c r="H8" t="s">
        <v>47</v>
      </c>
      <c r="I8">
        <v>68</v>
      </c>
      <c r="J8">
        <v>46</v>
      </c>
      <c r="K8">
        <v>50</v>
      </c>
      <c r="L8">
        <v>82</v>
      </c>
      <c r="M8">
        <v>51</v>
      </c>
      <c r="N8">
        <v>52</v>
      </c>
      <c r="O8">
        <v>56.2</v>
      </c>
      <c r="P8" t="s">
        <v>22</v>
      </c>
      <c r="Q8" t="s">
        <v>48</v>
      </c>
    </row>
    <row r="9" spans="1:17" x14ac:dyDescent="0.3">
      <c r="A9">
        <v>1008</v>
      </c>
      <c r="B9" t="s">
        <v>49</v>
      </c>
      <c r="C9">
        <v>18</v>
      </c>
      <c r="D9" t="s">
        <v>25</v>
      </c>
      <c r="E9" t="s">
        <v>50</v>
      </c>
      <c r="F9" t="s">
        <v>31</v>
      </c>
      <c r="G9">
        <v>3</v>
      </c>
      <c r="H9" t="s">
        <v>51</v>
      </c>
      <c r="I9">
        <v>75</v>
      </c>
      <c r="J9">
        <v>57</v>
      </c>
      <c r="K9">
        <v>63</v>
      </c>
      <c r="L9">
        <v>99</v>
      </c>
      <c r="M9">
        <v>70</v>
      </c>
      <c r="N9">
        <v>61</v>
      </c>
      <c r="O9">
        <v>70</v>
      </c>
      <c r="P9" t="s">
        <v>22</v>
      </c>
      <c r="Q9" t="s">
        <v>52</v>
      </c>
    </row>
    <row r="10" spans="1:17" x14ac:dyDescent="0.3">
      <c r="A10">
        <v>1009</v>
      </c>
      <c r="B10" t="s">
        <v>53</v>
      </c>
      <c r="C10">
        <v>19</v>
      </c>
      <c r="D10" t="s">
        <v>18</v>
      </c>
      <c r="E10" t="s">
        <v>46</v>
      </c>
      <c r="F10" t="s">
        <v>35</v>
      </c>
      <c r="G10">
        <v>4</v>
      </c>
      <c r="H10" t="s">
        <v>21</v>
      </c>
      <c r="I10">
        <v>82</v>
      </c>
      <c r="J10">
        <v>68</v>
      </c>
      <c r="K10">
        <v>76</v>
      </c>
      <c r="L10">
        <v>47</v>
      </c>
      <c r="M10">
        <v>89</v>
      </c>
      <c r="N10">
        <v>70</v>
      </c>
      <c r="O10">
        <v>70</v>
      </c>
      <c r="P10" t="s">
        <v>22</v>
      </c>
      <c r="Q10" t="s">
        <v>54</v>
      </c>
    </row>
    <row r="11" spans="1:17" x14ac:dyDescent="0.3">
      <c r="A11">
        <v>1010</v>
      </c>
      <c r="B11" t="s">
        <v>55</v>
      </c>
      <c r="C11">
        <v>20</v>
      </c>
      <c r="D11" t="s">
        <v>25</v>
      </c>
      <c r="E11" t="s">
        <v>50</v>
      </c>
      <c r="F11" t="s">
        <v>39</v>
      </c>
      <c r="G11">
        <v>5</v>
      </c>
      <c r="H11" t="s">
        <v>28</v>
      </c>
      <c r="I11">
        <v>89</v>
      </c>
      <c r="J11">
        <v>79</v>
      </c>
      <c r="K11">
        <v>89</v>
      </c>
      <c r="L11">
        <v>64</v>
      </c>
      <c r="M11">
        <v>47</v>
      </c>
      <c r="N11">
        <v>79</v>
      </c>
      <c r="O11">
        <v>71.599999999999994</v>
      </c>
      <c r="P11" t="s">
        <v>22</v>
      </c>
      <c r="Q11" t="s">
        <v>56</v>
      </c>
    </row>
    <row r="12" spans="1:17" x14ac:dyDescent="0.3">
      <c r="A12">
        <v>1011</v>
      </c>
      <c r="B12" t="s">
        <v>57</v>
      </c>
      <c r="C12">
        <v>21</v>
      </c>
      <c r="D12" t="s">
        <v>18</v>
      </c>
      <c r="E12" t="s">
        <v>46</v>
      </c>
      <c r="F12" t="s">
        <v>20</v>
      </c>
      <c r="G12">
        <v>6</v>
      </c>
      <c r="H12" t="s">
        <v>32</v>
      </c>
      <c r="I12">
        <v>96</v>
      </c>
      <c r="J12">
        <v>90</v>
      </c>
      <c r="K12">
        <v>31</v>
      </c>
      <c r="L12">
        <v>81</v>
      </c>
      <c r="M12">
        <v>66</v>
      </c>
      <c r="N12">
        <v>88</v>
      </c>
      <c r="O12">
        <v>71.2</v>
      </c>
      <c r="P12" t="s">
        <v>58</v>
      </c>
      <c r="Q12" t="s">
        <v>59</v>
      </c>
    </row>
    <row r="13" spans="1:17" x14ac:dyDescent="0.3">
      <c r="A13">
        <v>1012</v>
      </c>
      <c r="B13" t="s">
        <v>60</v>
      </c>
      <c r="C13">
        <v>22</v>
      </c>
      <c r="D13" t="s">
        <v>25</v>
      </c>
      <c r="E13" t="s">
        <v>50</v>
      </c>
      <c r="F13" t="s">
        <v>27</v>
      </c>
      <c r="G13">
        <v>1</v>
      </c>
      <c r="H13" t="s">
        <v>36</v>
      </c>
      <c r="I13">
        <v>62</v>
      </c>
      <c r="J13">
        <v>35</v>
      </c>
      <c r="K13">
        <v>44</v>
      </c>
      <c r="L13">
        <v>98</v>
      </c>
      <c r="M13">
        <v>85</v>
      </c>
      <c r="N13">
        <v>97</v>
      </c>
      <c r="O13">
        <v>71.8</v>
      </c>
      <c r="P13" t="s">
        <v>22</v>
      </c>
      <c r="Q13" t="s">
        <v>61</v>
      </c>
    </row>
    <row r="14" spans="1:17" x14ac:dyDescent="0.3">
      <c r="A14">
        <v>1013</v>
      </c>
      <c r="B14" t="s">
        <v>62</v>
      </c>
      <c r="C14">
        <v>23</v>
      </c>
      <c r="D14" t="s">
        <v>18</v>
      </c>
      <c r="E14" t="s">
        <v>46</v>
      </c>
      <c r="F14" t="s">
        <v>31</v>
      </c>
      <c r="G14">
        <v>2</v>
      </c>
      <c r="H14" t="s">
        <v>40</v>
      </c>
      <c r="I14">
        <v>69</v>
      </c>
      <c r="J14">
        <v>46</v>
      </c>
      <c r="K14">
        <v>57</v>
      </c>
      <c r="L14">
        <v>46</v>
      </c>
      <c r="M14">
        <v>43</v>
      </c>
      <c r="N14">
        <v>50</v>
      </c>
      <c r="O14">
        <v>48.4</v>
      </c>
      <c r="P14" t="s">
        <v>22</v>
      </c>
      <c r="Q14" t="s">
        <v>63</v>
      </c>
    </row>
    <row r="15" spans="1:17" x14ac:dyDescent="0.3">
      <c r="A15">
        <v>1014</v>
      </c>
      <c r="B15" t="s">
        <v>64</v>
      </c>
      <c r="C15">
        <v>24</v>
      </c>
      <c r="D15" t="s">
        <v>25</v>
      </c>
      <c r="E15" t="s">
        <v>65</v>
      </c>
      <c r="F15" t="s">
        <v>35</v>
      </c>
      <c r="G15">
        <v>3</v>
      </c>
      <c r="H15" t="s">
        <v>43</v>
      </c>
      <c r="I15">
        <v>76</v>
      </c>
      <c r="J15">
        <v>57</v>
      </c>
      <c r="K15">
        <v>70</v>
      </c>
      <c r="L15">
        <v>63</v>
      </c>
      <c r="M15">
        <v>62</v>
      </c>
      <c r="N15">
        <v>59</v>
      </c>
      <c r="O15">
        <v>62.2</v>
      </c>
      <c r="P15" t="s">
        <v>22</v>
      </c>
      <c r="Q15" t="s">
        <v>66</v>
      </c>
    </row>
    <row r="16" spans="1:17" x14ac:dyDescent="0.3">
      <c r="A16">
        <v>1015</v>
      </c>
      <c r="B16" t="s">
        <v>67</v>
      </c>
      <c r="C16">
        <v>25</v>
      </c>
      <c r="D16" t="s">
        <v>18</v>
      </c>
      <c r="E16" t="s">
        <v>68</v>
      </c>
      <c r="F16" t="s">
        <v>39</v>
      </c>
      <c r="G16">
        <v>4</v>
      </c>
      <c r="H16" t="s">
        <v>47</v>
      </c>
      <c r="I16">
        <v>83</v>
      </c>
      <c r="J16">
        <v>68</v>
      </c>
      <c r="K16">
        <v>83</v>
      </c>
      <c r="L16">
        <v>80</v>
      </c>
      <c r="M16">
        <v>81</v>
      </c>
      <c r="N16">
        <v>68</v>
      </c>
      <c r="O16">
        <v>76</v>
      </c>
      <c r="P16" t="s">
        <v>22</v>
      </c>
      <c r="Q16" t="s">
        <v>69</v>
      </c>
    </row>
    <row r="17" spans="1:17" x14ac:dyDescent="0.3">
      <c r="A17">
        <v>1016</v>
      </c>
      <c r="B17" t="s">
        <v>70</v>
      </c>
      <c r="C17">
        <v>18</v>
      </c>
      <c r="D17" t="s">
        <v>25</v>
      </c>
      <c r="E17" t="s">
        <v>65</v>
      </c>
      <c r="F17" t="s">
        <v>20</v>
      </c>
      <c r="G17">
        <v>5</v>
      </c>
      <c r="H17" t="s">
        <v>51</v>
      </c>
      <c r="I17">
        <v>90</v>
      </c>
      <c r="J17">
        <v>79</v>
      </c>
      <c r="K17">
        <v>96</v>
      </c>
      <c r="L17">
        <v>97</v>
      </c>
      <c r="M17">
        <v>100</v>
      </c>
      <c r="N17">
        <v>77</v>
      </c>
      <c r="O17">
        <v>89.8</v>
      </c>
      <c r="P17" t="s">
        <v>22</v>
      </c>
      <c r="Q17" t="s">
        <v>71</v>
      </c>
    </row>
    <row r="18" spans="1:17" x14ac:dyDescent="0.3">
      <c r="A18">
        <v>1017</v>
      </c>
      <c r="B18" t="s">
        <v>72</v>
      </c>
      <c r="C18">
        <v>19</v>
      </c>
      <c r="D18" t="s">
        <v>18</v>
      </c>
      <c r="E18" t="s">
        <v>68</v>
      </c>
      <c r="F18" t="s">
        <v>27</v>
      </c>
      <c r="G18">
        <v>6</v>
      </c>
      <c r="H18" t="s">
        <v>21</v>
      </c>
      <c r="I18">
        <v>97</v>
      </c>
      <c r="J18">
        <v>90</v>
      </c>
      <c r="K18">
        <v>38</v>
      </c>
      <c r="L18">
        <v>45</v>
      </c>
      <c r="M18">
        <v>58</v>
      </c>
      <c r="N18">
        <v>86</v>
      </c>
      <c r="O18">
        <v>63.4</v>
      </c>
      <c r="P18" t="s">
        <v>22</v>
      </c>
      <c r="Q18" t="s">
        <v>73</v>
      </c>
    </row>
    <row r="19" spans="1:17" x14ac:dyDescent="0.3">
      <c r="A19">
        <v>1018</v>
      </c>
      <c r="B19" t="s">
        <v>74</v>
      </c>
      <c r="C19">
        <v>20</v>
      </c>
      <c r="D19" t="s">
        <v>25</v>
      </c>
      <c r="E19" t="s">
        <v>65</v>
      </c>
      <c r="F19" t="s">
        <v>31</v>
      </c>
      <c r="G19">
        <v>1</v>
      </c>
      <c r="H19" t="s">
        <v>28</v>
      </c>
      <c r="I19">
        <v>63</v>
      </c>
      <c r="J19">
        <v>35</v>
      </c>
      <c r="K19">
        <v>51</v>
      </c>
      <c r="L19">
        <v>62</v>
      </c>
      <c r="M19">
        <v>77</v>
      </c>
      <c r="N19">
        <v>95</v>
      </c>
      <c r="O19">
        <v>64</v>
      </c>
      <c r="P19" t="s">
        <v>22</v>
      </c>
      <c r="Q19" t="s">
        <v>75</v>
      </c>
    </row>
    <row r="20" spans="1:17" x14ac:dyDescent="0.3">
      <c r="A20">
        <v>1019</v>
      </c>
      <c r="B20" t="s">
        <v>76</v>
      </c>
      <c r="C20">
        <v>21</v>
      </c>
      <c r="D20" t="s">
        <v>18</v>
      </c>
      <c r="E20" t="s">
        <v>68</v>
      </c>
      <c r="F20" t="s">
        <v>35</v>
      </c>
      <c r="G20">
        <v>2</v>
      </c>
      <c r="H20" t="s">
        <v>32</v>
      </c>
      <c r="I20">
        <v>70</v>
      </c>
      <c r="J20">
        <v>46</v>
      </c>
      <c r="K20">
        <v>64</v>
      </c>
      <c r="L20">
        <v>79</v>
      </c>
      <c r="M20">
        <v>96</v>
      </c>
      <c r="N20">
        <v>48</v>
      </c>
      <c r="O20">
        <v>66.599999999999994</v>
      </c>
      <c r="P20" t="s">
        <v>22</v>
      </c>
      <c r="Q20" t="s">
        <v>77</v>
      </c>
    </row>
    <row r="21" spans="1:17" x14ac:dyDescent="0.3">
      <c r="A21">
        <v>1020</v>
      </c>
      <c r="B21" t="s">
        <v>78</v>
      </c>
      <c r="C21">
        <v>22</v>
      </c>
      <c r="D21" t="s">
        <v>25</v>
      </c>
      <c r="E21" t="s">
        <v>65</v>
      </c>
      <c r="F21" t="s">
        <v>39</v>
      </c>
      <c r="G21">
        <v>3</v>
      </c>
      <c r="H21" t="s">
        <v>36</v>
      </c>
      <c r="I21">
        <v>77</v>
      </c>
      <c r="J21">
        <v>57</v>
      </c>
      <c r="K21">
        <v>77</v>
      </c>
      <c r="L21">
        <v>96</v>
      </c>
      <c r="M21">
        <v>54</v>
      </c>
      <c r="N21">
        <v>57</v>
      </c>
      <c r="O21">
        <v>68.2</v>
      </c>
      <c r="P21" t="s">
        <v>22</v>
      </c>
      <c r="Q21" t="s">
        <v>79</v>
      </c>
    </row>
    <row r="22" spans="1:17" x14ac:dyDescent="0.3">
      <c r="A22">
        <v>1021</v>
      </c>
      <c r="B22" t="s">
        <v>80</v>
      </c>
      <c r="C22">
        <v>23</v>
      </c>
      <c r="D22" t="s">
        <v>18</v>
      </c>
      <c r="E22" t="s">
        <v>26</v>
      </c>
      <c r="F22" t="s">
        <v>20</v>
      </c>
      <c r="G22">
        <v>4</v>
      </c>
      <c r="H22" t="s">
        <v>40</v>
      </c>
      <c r="I22">
        <v>84</v>
      </c>
      <c r="J22">
        <v>68</v>
      </c>
      <c r="K22">
        <v>90</v>
      </c>
      <c r="L22">
        <v>44</v>
      </c>
      <c r="M22">
        <v>73</v>
      </c>
      <c r="N22">
        <v>66</v>
      </c>
      <c r="O22">
        <v>68.2</v>
      </c>
      <c r="P22" t="s">
        <v>22</v>
      </c>
      <c r="Q22" t="s">
        <v>81</v>
      </c>
    </row>
    <row r="23" spans="1:17" x14ac:dyDescent="0.3">
      <c r="A23">
        <v>1022</v>
      </c>
      <c r="B23" t="s">
        <v>82</v>
      </c>
      <c r="C23">
        <v>24</v>
      </c>
      <c r="D23" t="s">
        <v>25</v>
      </c>
      <c r="E23" t="s">
        <v>19</v>
      </c>
      <c r="F23" t="s">
        <v>27</v>
      </c>
      <c r="G23">
        <v>5</v>
      </c>
      <c r="H23" t="s">
        <v>43</v>
      </c>
      <c r="I23">
        <v>91</v>
      </c>
      <c r="J23">
        <v>79</v>
      </c>
      <c r="K23">
        <v>32</v>
      </c>
      <c r="L23">
        <v>61</v>
      </c>
      <c r="M23">
        <v>92</v>
      </c>
      <c r="N23">
        <v>75</v>
      </c>
      <c r="O23">
        <v>67.8</v>
      </c>
      <c r="P23" t="s">
        <v>58</v>
      </c>
      <c r="Q23" t="s">
        <v>83</v>
      </c>
    </row>
    <row r="24" spans="1:17" x14ac:dyDescent="0.3">
      <c r="A24">
        <v>1023</v>
      </c>
      <c r="B24" t="s">
        <v>84</v>
      </c>
      <c r="C24">
        <v>25</v>
      </c>
      <c r="D24" t="s">
        <v>18</v>
      </c>
      <c r="E24" t="s">
        <v>26</v>
      </c>
      <c r="F24" t="s">
        <v>31</v>
      </c>
      <c r="G24">
        <v>6</v>
      </c>
      <c r="H24" t="s">
        <v>47</v>
      </c>
      <c r="I24">
        <v>98</v>
      </c>
      <c r="J24">
        <v>90</v>
      </c>
      <c r="K24">
        <v>45</v>
      </c>
      <c r="L24">
        <v>78</v>
      </c>
      <c r="M24">
        <v>50</v>
      </c>
      <c r="N24">
        <v>84</v>
      </c>
      <c r="O24">
        <v>69.400000000000006</v>
      </c>
      <c r="P24" t="s">
        <v>22</v>
      </c>
      <c r="Q24" t="s">
        <v>85</v>
      </c>
    </row>
    <row r="25" spans="1:17" x14ac:dyDescent="0.3">
      <c r="A25">
        <v>1024</v>
      </c>
      <c r="B25" t="s">
        <v>86</v>
      </c>
      <c r="C25">
        <v>18</v>
      </c>
      <c r="D25" t="s">
        <v>25</v>
      </c>
      <c r="E25" t="s">
        <v>19</v>
      </c>
      <c r="F25" t="s">
        <v>35</v>
      </c>
      <c r="G25">
        <v>1</v>
      </c>
      <c r="H25" t="s">
        <v>51</v>
      </c>
      <c r="I25">
        <v>64</v>
      </c>
      <c r="J25">
        <v>35</v>
      </c>
      <c r="K25">
        <v>58</v>
      </c>
      <c r="L25">
        <v>95</v>
      </c>
      <c r="M25">
        <v>69</v>
      </c>
      <c r="N25">
        <v>93</v>
      </c>
      <c r="O25">
        <v>70</v>
      </c>
      <c r="P25" t="s">
        <v>22</v>
      </c>
      <c r="Q25" t="s">
        <v>87</v>
      </c>
    </row>
    <row r="26" spans="1:17" x14ac:dyDescent="0.3">
      <c r="A26">
        <v>1025</v>
      </c>
      <c r="B26" t="s">
        <v>88</v>
      </c>
      <c r="C26">
        <v>19</v>
      </c>
      <c r="D26" t="s">
        <v>18</v>
      </c>
      <c r="E26" t="s">
        <v>26</v>
      </c>
      <c r="F26" t="s">
        <v>39</v>
      </c>
      <c r="G26">
        <v>2</v>
      </c>
      <c r="H26" t="s">
        <v>21</v>
      </c>
      <c r="I26">
        <v>71</v>
      </c>
      <c r="J26">
        <v>46</v>
      </c>
      <c r="K26">
        <v>71</v>
      </c>
      <c r="L26">
        <v>43</v>
      </c>
      <c r="M26">
        <v>88</v>
      </c>
      <c r="N26">
        <v>46</v>
      </c>
      <c r="O26">
        <v>58.8</v>
      </c>
      <c r="P26" t="s">
        <v>22</v>
      </c>
      <c r="Q26" t="s">
        <v>89</v>
      </c>
    </row>
    <row r="27" spans="1:17" x14ac:dyDescent="0.3">
      <c r="A27">
        <v>1026</v>
      </c>
      <c r="B27" t="s">
        <v>90</v>
      </c>
      <c r="C27">
        <v>20</v>
      </c>
      <c r="D27" t="s">
        <v>25</v>
      </c>
      <c r="E27" t="s">
        <v>19</v>
      </c>
      <c r="F27" t="s">
        <v>20</v>
      </c>
      <c r="G27">
        <v>3</v>
      </c>
      <c r="H27" t="s">
        <v>28</v>
      </c>
      <c r="I27">
        <v>78</v>
      </c>
      <c r="J27">
        <v>57</v>
      </c>
      <c r="K27">
        <v>84</v>
      </c>
      <c r="L27">
        <v>60</v>
      </c>
      <c r="M27">
        <v>46</v>
      </c>
      <c r="N27">
        <v>55</v>
      </c>
      <c r="O27">
        <v>60.4</v>
      </c>
      <c r="P27" t="s">
        <v>22</v>
      </c>
      <c r="Q27" t="s">
        <v>91</v>
      </c>
    </row>
    <row r="28" spans="1:17" x14ac:dyDescent="0.3">
      <c r="A28">
        <v>1027</v>
      </c>
      <c r="B28" t="s">
        <v>92</v>
      </c>
      <c r="C28">
        <v>21</v>
      </c>
      <c r="D28" t="s">
        <v>18</v>
      </c>
      <c r="E28" t="s">
        <v>26</v>
      </c>
      <c r="F28" t="s">
        <v>27</v>
      </c>
      <c r="G28">
        <v>4</v>
      </c>
      <c r="H28" t="s">
        <v>32</v>
      </c>
      <c r="I28">
        <v>85</v>
      </c>
      <c r="J28">
        <v>68</v>
      </c>
      <c r="K28">
        <v>97</v>
      </c>
      <c r="L28">
        <v>77</v>
      </c>
      <c r="M28">
        <v>65</v>
      </c>
      <c r="N28">
        <v>64</v>
      </c>
      <c r="O28">
        <v>74.2</v>
      </c>
      <c r="P28" t="s">
        <v>22</v>
      </c>
      <c r="Q28" t="s">
        <v>93</v>
      </c>
    </row>
    <row r="29" spans="1:17" x14ac:dyDescent="0.3">
      <c r="A29">
        <v>1028</v>
      </c>
      <c r="B29" t="s">
        <v>94</v>
      </c>
      <c r="C29">
        <v>22</v>
      </c>
      <c r="D29" t="s">
        <v>25</v>
      </c>
      <c r="E29" t="s">
        <v>46</v>
      </c>
      <c r="F29" t="s">
        <v>31</v>
      </c>
      <c r="G29">
        <v>5</v>
      </c>
      <c r="H29" t="s">
        <v>36</v>
      </c>
      <c r="I29">
        <v>92</v>
      </c>
      <c r="J29">
        <v>79</v>
      </c>
      <c r="K29">
        <v>39</v>
      </c>
      <c r="L29">
        <v>94</v>
      </c>
      <c r="M29">
        <v>84</v>
      </c>
      <c r="N29">
        <v>73</v>
      </c>
      <c r="O29">
        <v>73.8</v>
      </c>
      <c r="P29" t="s">
        <v>22</v>
      </c>
      <c r="Q29" t="s">
        <v>95</v>
      </c>
    </row>
    <row r="30" spans="1:17" x14ac:dyDescent="0.3">
      <c r="A30">
        <v>1029</v>
      </c>
      <c r="B30" t="s">
        <v>96</v>
      </c>
      <c r="C30">
        <v>23</v>
      </c>
      <c r="D30" t="s">
        <v>18</v>
      </c>
      <c r="E30" t="s">
        <v>50</v>
      </c>
      <c r="F30" t="s">
        <v>35</v>
      </c>
      <c r="G30">
        <v>6</v>
      </c>
      <c r="H30" t="s">
        <v>40</v>
      </c>
      <c r="I30">
        <v>99</v>
      </c>
      <c r="J30">
        <v>90</v>
      </c>
      <c r="K30">
        <v>52</v>
      </c>
      <c r="L30">
        <v>42</v>
      </c>
      <c r="M30">
        <v>42</v>
      </c>
      <c r="N30">
        <v>82</v>
      </c>
      <c r="O30">
        <v>61.6</v>
      </c>
      <c r="P30" t="s">
        <v>22</v>
      </c>
      <c r="Q30" t="s">
        <v>97</v>
      </c>
    </row>
    <row r="31" spans="1:17" x14ac:dyDescent="0.3">
      <c r="A31">
        <v>1030</v>
      </c>
      <c r="B31" t="s">
        <v>98</v>
      </c>
      <c r="C31">
        <v>24</v>
      </c>
      <c r="D31" t="s">
        <v>25</v>
      </c>
      <c r="E31" t="s">
        <v>46</v>
      </c>
      <c r="F31" t="s">
        <v>39</v>
      </c>
      <c r="G31">
        <v>1</v>
      </c>
      <c r="H31" t="s">
        <v>43</v>
      </c>
      <c r="I31">
        <v>65</v>
      </c>
      <c r="J31">
        <v>35</v>
      </c>
      <c r="K31">
        <v>65</v>
      </c>
      <c r="L31">
        <v>59</v>
      </c>
      <c r="M31">
        <v>61</v>
      </c>
      <c r="N31">
        <v>91</v>
      </c>
      <c r="O31">
        <v>62.2</v>
      </c>
      <c r="P31" t="s">
        <v>22</v>
      </c>
      <c r="Q31" t="s">
        <v>99</v>
      </c>
    </row>
    <row r="32" spans="1:17" x14ac:dyDescent="0.3">
      <c r="A32">
        <v>1031</v>
      </c>
      <c r="B32" t="s">
        <v>100</v>
      </c>
      <c r="C32">
        <v>25</v>
      </c>
      <c r="D32" t="s">
        <v>18</v>
      </c>
      <c r="E32" t="s">
        <v>50</v>
      </c>
      <c r="F32" t="s">
        <v>20</v>
      </c>
      <c r="G32">
        <v>2</v>
      </c>
      <c r="H32" t="s">
        <v>47</v>
      </c>
      <c r="I32">
        <v>72</v>
      </c>
      <c r="J32">
        <v>46</v>
      </c>
      <c r="K32">
        <v>78</v>
      </c>
      <c r="L32">
        <v>76</v>
      </c>
      <c r="M32">
        <v>80</v>
      </c>
      <c r="N32">
        <v>100</v>
      </c>
      <c r="O32">
        <v>76</v>
      </c>
      <c r="P32" t="s">
        <v>22</v>
      </c>
      <c r="Q32" t="s">
        <v>101</v>
      </c>
    </row>
    <row r="33" spans="1:17" x14ac:dyDescent="0.3">
      <c r="A33">
        <v>1032</v>
      </c>
      <c r="B33" t="s">
        <v>102</v>
      </c>
      <c r="C33">
        <v>18</v>
      </c>
      <c r="D33" t="s">
        <v>25</v>
      </c>
      <c r="E33" t="s">
        <v>46</v>
      </c>
      <c r="F33" t="s">
        <v>27</v>
      </c>
      <c r="G33">
        <v>3</v>
      </c>
      <c r="H33" t="s">
        <v>51</v>
      </c>
      <c r="I33">
        <v>79</v>
      </c>
      <c r="J33">
        <v>57</v>
      </c>
      <c r="K33">
        <v>91</v>
      </c>
      <c r="L33">
        <v>93</v>
      </c>
      <c r="M33">
        <v>99</v>
      </c>
      <c r="N33">
        <v>53</v>
      </c>
      <c r="O33">
        <v>78.599999999999994</v>
      </c>
      <c r="P33" t="s">
        <v>22</v>
      </c>
      <c r="Q33" t="s">
        <v>103</v>
      </c>
    </row>
    <row r="34" spans="1:17" x14ac:dyDescent="0.3">
      <c r="A34">
        <v>1033</v>
      </c>
      <c r="B34" t="s">
        <v>104</v>
      </c>
      <c r="C34">
        <v>19</v>
      </c>
      <c r="D34" t="s">
        <v>18</v>
      </c>
      <c r="E34" t="s">
        <v>50</v>
      </c>
      <c r="F34" t="s">
        <v>31</v>
      </c>
      <c r="G34">
        <v>4</v>
      </c>
      <c r="H34" t="s">
        <v>21</v>
      </c>
      <c r="I34">
        <v>86</v>
      </c>
      <c r="J34">
        <v>68</v>
      </c>
      <c r="K34">
        <v>33</v>
      </c>
      <c r="L34">
        <v>41</v>
      </c>
      <c r="M34">
        <v>57</v>
      </c>
      <c r="N34">
        <v>62</v>
      </c>
      <c r="O34">
        <v>52.2</v>
      </c>
      <c r="P34" t="s">
        <v>58</v>
      </c>
      <c r="Q34" t="s">
        <v>105</v>
      </c>
    </row>
    <row r="35" spans="1:17" x14ac:dyDescent="0.3">
      <c r="A35">
        <v>1034</v>
      </c>
      <c r="B35" t="s">
        <v>106</v>
      </c>
      <c r="C35">
        <v>20</v>
      </c>
      <c r="D35" t="s">
        <v>25</v>
      </c>
      <c r="E35" t="s">
        <v>46</v>
      </c>
      <c r="F35" t="s">
        <v>35</v>
      </c>
      <c r="G35">
        <v>5</v>
      </c>
      <c r="H35" t="s">
        <v>28</v>
      </c>
      <c r="I35">
        <v>93</v>
      </c>
      <c r="J35">
        <v>79</v>
      </c>
      <c r="K35">
        <v>46</v>
      </c>
      <c r="L35">
        <v>58</v>
      </c>
      <c r="M35">
        <v>76</v>
      </c>
      <c r="N35">
        <v>71</v>
      </c>
      <c r="O35">
        <v>66</v>
      </c>
      <c r="P35" t="s">
        <v>22</v>
      </c>
      <c r="Q35" t="s">
        <v>107</v>
      </c>
    </row>
    <row r="36" spans="1:17" x14ac:dyDescent="0.3">
      <c r="A36">
        <v>1035</v>
      </c>
      <c r="B36" t="s">
        <v>108</v>
      </c>
      <c r="C36">
        <v>21</v>
      </c>
      <c r="D36" t="s">
        <v>18</v>
      </c>
      <c r="E36" t="s">
        <v>65</v>
      </c>
      <c r="F36" t="s">
        <v>39</v>
      </c>
      <c r="G36">
        <v>6</v>
      </c>
      <c r="H36" t="s">
        <v>32</v>
      </c>
      <c r="I36">
        <v>100</v>
      </c>
      <c r="J36">
        <v>90</v>
      </c>
      <c r="K36">
        <v>59</v>
      </c>
      <c r="L36">
        <v>75</v>
      </c>
      <c r="M36">
        <v>95</v>
      </c>
      <c r="N36">
        <v>80</v>
      </c>
      <c r="O36">
        <v>79.8</v>
      </c>
      <c r="P36" t="s">
        <v>22</v>
      </c>
      <c r="Q36" t="s">
        <v>109</v>
      </c>
    </row>
    <row r="37" spans="1:17" x14ac:dyDescent="0.3">
      <c r="A37">
        <v>1036</v>
      </c>
      <c r="B37" t="s">
        <v>110</v>
      </c>
      <c r="C37">
        <v>22</v>
      </c>
      <c r="D37" t="s">
        <v>25</v>
      </c>
      <c r="E37" t="s">
        <v>68</v>
      </c>
      <c r="F37" t="s">
        <v>20</v>
      </c>
      <c r="G37">
        <v>1</v>
      </c>
      <c r="H37" t="s">
        <v>36</v>
      </c>
      <c r="I37">
        <v>66</v>
      </c>
      <c r="J37">
        <v>35</v>
      </c>
      <c r="K37">
        <v>72</v>
      </c>
      <c r="L37">
        <v>92</v>
      </c>
      <c r="M37">
        <v>53</v>
      </c>
      <c r="N37">
        <v>89</v>
      </c>
      <c r="O37">
        <v>68.2</v>
      </c>
      <c r="P37" t="s">
        <v>22</v>
      </c>
      <c r="Q37" t="s">
        <v>111</v>
      </c>
    </row>
    <row r="38" spans="1:17" x14ac:dyDescent="0.3">
      <c r="A38">
        <v>1037</v>
      </c>
      <c r="B38" t="s">
        <v>112</v>
      </c>
      <c r="C38">
        <v>23</v>
      </c>
      <c r="D38" t="s">
        <v>18</v>
      </c>
      <c r="E38" t="s">
        <v>65</v>
      </c>
      <c r="F38" t="s">
        <v>27</v>
      </c>
      <c r="G38">
        <v>2</v>
      </c>
      <c r="H38" t="s">
        <v>40</v>
      </c>
      <c r="I38">
        <v>73</v>
      </c>
      <c r="J38">
        <v>46</v>
      </c>
      <c r="K38">
        <v>85</v>
      </c>
      <c r="L38">
        <v>40</v>
      </c>
      <c r="M38">
        <v>72</v>
      </c>
      <c r="N38">
        <v>98</v>
      </c>
      <c r="O38">
        <v>68.2</v>
      </c>
      <c r="P38" t="s">
        <v>22</v>
      </c>
      <c r="Q38" t="s">
        <v>113</v>
      </c>
    </row>
    <row r="39" spans="1:17" x14ac:dyDescent="0.3">
      <c r="A39">
        <v>1038</v>
      </c>
      <c r="B39" t="s">
        <v>114</v>
      </c>
      <c r="C39">
        <v>24</v>
      </c>
      <c r="D39" t="s">
        <v>25</v>
      </c>
      <c r="E39" t="s">
        <v>68</v>
      </c>
      <c r="F39" t="s">
        <v>31</v>
      </c>
      <c r="G39">
        <v>3</v>
      </c>
      <c r="H39" t="s">
        <v>43</v>
      </c>
      <c r="I39">
        <v>80</v>
      </c>
      <c r="J39">
        <v>57</v>
      </c>
      <c r="K39">
        <v>98</v>
      </c>
      <c r="L39">
        <v>57</v>
      </c>
      <c r="M39">
        <v>91</v>
      </c>
      <c r="N39">
        <v>51</v>
      </c>
      <c r="O39">
        <v>70.8</v>
      </c>
      <c r="P39" t="s">
        <v>22</v>
      </c>
      <c r="Q39" t="s">
        <v>115</v>
      </c>
    </row>
    <row r="40" spans="1:17" x14ac:dyDescent="0.3">
      <c r="A40">
        <v>1039</v>
      </c>
      <c r="B40" t="s">
        <v>116</v>
      </c>
      <c r="C40">
        <v>25</v>
      </c>
      <c r="D40" t="s">
        <v>18</v>
      </c>
      <c r="E40" t="s">
        <v>65</v>
      </c>
      <c r="F40" t="s">
        <v>35</v>
      </c>
      <c r="G40">
        <v>4</v>
      </c>
      <c r="H40" t="s">
        <v>47</v>
      </c>
      <c r="I40">
        <v>87</v>
      </c>
      <c r="J40">
        <v>68</v>
      </c>
      <c r="K40">
        <v>40</v>
      </c>
      <c r="L40">
        <v>74</v>
      </c>
      <c r="M40">
        <v>49</v>
      </c>
      <c r="N40">
        <v>60</v>
      </c>
      <c r="O40">
        <v>58.2</v>
      </c>
      <c r="P40" t="s">
        <v>22</v>
      </c>
      <c r="Q40" t="s">
        <v>117</v>
      </c>
    </row>
    <row r="41" spans="1:17" x14ac:dyDescent="0.3">
      <c r="A41">
        <v>1040</v>
      </c>
      <c r="B41" t="s">
        <v>118</v>
      </c>
      <c r="C41">
        <v>18</v>
      </c>
      <c r="D41" t="s">
        <v>25</v>
      </c>
      <c r="E41" t="s">
        <v>68</v>
      </c>
      <c r="F41" t="s">
        <v>39</v>
      </c>
      <c r="G41">
        <v>5</v>
      </c>
      <c r="H41" t="s">
        <v>51</v>
      </c>
      <c r="I41">
        <v>94</v>
      </c>
      <c r="J41">
        <v>79</v>
      </c>
      <c r="K41">
        <v>53</v>
      </c>
      <c r="L41">
        <v>91</v>
      </c>
      <c r="M41">
        <v>68</v>
      </c>
      <c r="N41">
        <v>69</v>
      </c>
      <c r="O41">
        <v>72</v>
      </c>
      <c r="P41" t="s">
        <v>22</v>
      </c>
      <c r="Q41" t="s">
        <v>119</v>
      </c>
    </row>
    <row r="42" spans="1:17" x14ac:dyDescent="0.3">
      <c r="A42">
        <v>1041</v>
      </c>
      <c r="B42" t="s">
        <v>120</v>
      </c>
      <c r="C42">
        <v>19</v>
      </c>
      <c r="D42" t="s">
        <v>18</v>
      </c>
      <c r="E42" t="s">
        <v>65</v>
      </c>
      <c r="F42" t="s">
        <v>20</v>
      </c>
      <c r="G42">
        <v>6</v>
      </c>
      <c r="H42" t="s">
        <v>21</v>
      </c>
      <c r="I42">
        <v>60</v>
      </c>
      <c r="J42">
        <v>90</v>
      </c>
      <c r="K42">
        <v>66</v>
      </c>
      <c r="L42">
        <v>39</v>
      </c>
      <c r="M42">
        <v>87</v>
      </c>
      <c r="N42">
        <v>78</v>
      </c>
      <c r="O42">
        <v>72</v>
      </c>
      <c r="P42" t="s">
        <v>22</v>
      </c>
      <c r="Q42" t="s">
        <v>121</v>
      </c>
    </row>
    <row r="43" spans="1:17" x14ac:dyDescent="0.3">
      <c r="A43">
        <v>1042</v>
      </c>
      <c r="B43" t="s">
        <v>122</v>
      </c>
      <c r="C43">
        <v>20</v>
      </c>
      <c r="D43" t="s">
        <v>25</v>
      </c>
      <c r="E43" t="s">
        <v>26</v>
      </c>
      <c r="F43" t="s">
        <v>27</v>
      </c>
      <c r="G43">
        <v>1</v>
      </c>
      <c r="H43" t="s">
        <v>28</v>
      </c>
      <c r="I43">
        <v>67</v>
      </c>
      <c r="J43">
        <v>35</v>
      </c>
      <c r="K43">
        <v>79</v>
      </c>
      <c r="L43">
        <v>56</v>
      </c>
      <c r="M43">
        <v>45</v>
      </c>
      <c r="N43">
        <v>87</v>
      </c>
      <c r="O43">
        <v>60.4</v>
      </c>
      <c r="P43" t="s">
        <v>22</v>
      </c>
      <c r="Q43" t="s">
        <v>123</v>
      </c>
    </row>
    <row r="44" spans="1:17" x14ac:dyDescent="0.3">
      <c r="A44">
        <v>1043</v>
      </c>
      <c r="B44" t="s">
        <v>124</v>
      </c>
      <c r="C44">
        <v>21</v>
      </c>
      <c r="D44" t="s">
        <v>18</v>
      </c>
      <c r="E44" t="s">
        <v>19</v>
      </c>
      <c r="F44" t="s">
        <v>31</v>
      </c>
      <c r="G44">
        <v>2</v>
      </c>
      <c r="H44" t="s">
        <v>32</v>
      </c>
      <c r="I44">
        <v>74</v>
      </c>
      <c r="J44">
        <v>46</v>
      </c>
      <c r="K44">
        <v>92</v>
      </c>
      <c r="L44">
        <v>73</v>
      </c>
      <c r="M44">
        <v>64</v>
      </c>
      <c r="N44">
        <v>96</v>
      </c>
      <c r="O44">
        <v>74.2</v>
      </c>
      <c r="P44" t="s">
        <v>22</v>
      </c>
      <c r="Q44" t="s">
        <v>125</v>
      </c>
    </row>
    <row r="45" spans="1:17" x14ac:dyDescent="0.3">
      <c r="A45">
        <v>1044</v>
      </c>
      <c r="B45" t="s">
        <v>126</v>
      </c>
      <c r="C45">
        <v>22</v>
      </c>
      <c r="D45" t="s">
        <v>25</v>
      </c>
      <c r="E45" t="s">
        <v>26</v>
      </c>
      <c r="F45" t="s">
        <v>35</v>
      </c>
      <c r="G45">
        <v>3</v>
      </c>
      <c r="H45" t="s">
        <v>36</v>
      </c>
      <c r="I45">
        <v>81</v>
      </c>
      <c r="J45">
        <v>57</v>
      </c>
      <c r="K45">
        <v>34</v>
      </c>
      <c r="L45">
        <v>90</v>
      </c>
      <c r="M45">
        <v>83</v>
      </c>
      <c r="N45">
        <v>49</v>
      </c>
      <c r="O45">
        <v>62.6</v>
      </c>
      <c r="P45" t="s">
        <v>58</v>
      </c>
      <c r="Q45" t="s">
        <v>127</v>
      </c>
    </row>
    <row r="46" spans="1:17" x14ac:dyDescent="0.3">
      <c r="A46">
        <v>1045</v>
      </c>
      <c r="B46" t="s">
        <v>128</v>
      </c>
      <c r="C46">
        <v>23</v>
      </c>
      <c r="D46" t="s">
        <v>18</v>
      </c>
      <c r="E46" t="s">
        <v>19</v>
      </c>
      <c r="F46" t="s">
        <v>39</v>
      </c>
      <c r="G46">
        <v>4</v>
      </c>
      <c r="H46" t="s">
        <v>40</v>
      </c>
      <c r="I46">
        <v>88</v>
      </c>
      <c r="J46">
        <v>68</v>
      </c>
      <c r="K46">
        <v>47</v>
      </c>
      <c r="L46">
        <v>38</v>
      </c>
      <c r="M46">
        <v>41</v>
      </c>
      <c r="N46">
        <v>58</v>
      </c>
      <c r="O46">
        <v>50.4</v>
      </c>
      <c r="P46" t="s">
        <v>22</v>
      </c>
      <c r="Q46" t="s">
        <v>129</v>
      </c>
    </row>
    <row r="47" spans="1:17" x14ac:dyDescent="0.3">
      <c r="A47">
        <v>1046</v>
      </c>
      <c r="B47" t="s">
        <v>130</v>
      </c>
      <c r="C47">
        <v>24</v>
      </c>
      <c r="D47" t="s">
        <v>25</v>
      </c>
      <c r="E47" t="s">
        <v>26</v>
      </c>
      <c r="F47" t="s">
        <v>20</v>
      </c>
      <c r="G47">
        <v>5</v>
      </c>
      <c r="H47" t="s">
        <v>43</v>
      </c>
      <c r="I47">
        <v>95</v>
      </c>
      <c r="J47">
        <v>79</v>
      </c>
      <c r="K47">
        <v>60</v>
      </c>
      <c r="L47">
        <v>55</v>
      </c>
      <c r="M47">
        <v>60</v>
      </c>
      <c r="N47">
        <v>67</v>
      </c>
      <c r="O47">
        <v>64.2</v>
      </c>
      <c r="P47" t="s">
        <v>22</v>
      </c>
      <c r="Q47" t="s">
        <v>131</v>
      </c>
    </row>
    <row r="48" spans="1:17" x14ac:dyDescent="0.3">
      <c r="A48">
        <v>1047</v>
      </c>
      <c r="B48" t="s">
        <v>132</v>
      </c>
      <c r="C48">
        <v>25</v>
      </c>
      <c r="D48" t="s">
        <v>18</v>
      </c>
      <c r="E48" t="s">
        <v>19</v>
      </c>
      <c r="F48" t="s">
        <v>27</v>
      </c>
      <c r="G48">
        <v>6</v>
      </c>
      <c r="H48" t="s">
        <v>47</v>
      </c>
      <c r="I48">
        <v>61</v>
      </c>
      <c r="J48">
        <v>90</v>
      </c>
      <c r="K48">
        <v>73</v>
      </c>
      <c r="L48">
        <v>72</v>
      </c>
      <c r="M48">
        <v>79</v>
      </c>
      <c r="N48">
        <v>76</v>
      </c>
      <c r="O48">
        <v>78</v>
      </c>
      <c r="P48" t="s">
        <v>22</v>
      </c>
      <c r="Q48" t="s">
        <v>133</v>
      </c>
    </row>
    <row r="49" spans="1:17" x14ac:dyDescent="0.3">
      <c r="A49">
        <v>1048</v>
      </c>
      <c r="B49" t="s">
        <v>134</v>
      </c>
      <c r="C49">
        <v>18</v>
      </c>
      <c r="D49" t="s">
        <v>25</v>
      </c>
      <c r="E49" t="s">
        <v>26</v>
      </c>
      <c r="F49" t="s">
        <v>31</v>
      </c>
      <c r="G49">
        <v>1</v>
      </c>
      <c r="H49" t="s">
        <v>51</v>
      </c>
      <c r="I49">
        <v>68</v>
      </c>
      <c r="J49">
        <v>35</v>
      </c>
      <c r="K49">
        <v>86</v>
      </c>
      <c r="L49">
        <v>89</v>
      </c>
      <c r="M49">
        <v>98</v>
      </c>
      <c r="N49">
        <v>85</v>
      </c>
      <c r="O49">
        <v>78.599999999999994</v>
      </c>
      <c r="P49" t="s">
        <v>22</v>
      </c>
      <c r="Q49" t="s">
        <v>135</v>
      </c>
    </row>
    <row r="50" spans="1:17" x14ac:dyDescent="0.3">
      <c r="A50">
        <v>1049</v>
      </c>
      <c r="B50" t="s">
        <v>136</v>
      </c>
      <c r="C50">
        <v>19</v>
      </c>
      <c r="D50" t="s">
        <v>18</v>
      </c>
      <c r="E50" t="s">
        <v>46</v>
      </c>
      <c r="F50" t="s">
        <v>35</v>
      </c>
      <c r="G50">
        <v>2</v>
      </c>
      <c r="H50" t="s">
        <v>21</v>
      </c>
      <c r="I50">
        <v>75</v>
      </c>
      <c r="J50">
        <v>46</v>
      </c>
      <c r="K50">
        <v>99</v>
      </c>
      <c r="L50">
        <v>37</v>
      </c>
      <c r="M50">
        <v>56</v>
      </c>
      <c r="N50">
        <v>94</v>
      </c>
      <c r="O50">
        <v>66.400000000000006</v>
      </c>
      <c r="P50" t="s">
        <v>22</v>
      </c>
      <c r="Q50" t="s">
        <v>137</v>
      </c>
    </row>
    <row r="51" spans="1:17" x14ac:dyDescent="0.3">
      <c r="A51">
        <v>1050</v>
      </c>
      <c r="B51" t="s">
        <v>138</v>
      </c>
      <c r="C51">
        <v>20</v>
      </c>
      <c r="D51" t="s">
        <v>25</v>
      </c>
      <c r="E51" t="s">
        <v>50</v>
      </c>
      <c r="F51" t="s">
        <v>39</v>
      </c>
      <c r="G51">
        <v>3</v>
      </c>
      <c r="H51" t="s">
        <v>28</v>
      </c>
      <c r="I51">
        <v>82</v>
      </c>
      <c r="J51">
        <v>57</v>
      </c>
      <c r="K51">
        <v>41</v>
      </c>
      <c r="L51">
        <v>54</v>
      </c>
      <c r="M51">
        <v>75</v>
      </c>
      <c r="N51">
        <v>47</v>
      </c>
      <c r="O51">
        <v>54.8</v>
      </c>
      <c r="P51" t="s">
        <v>22</v>
      </c>
      <c r="Q51" t="s">
        <v>139</v>
      </c>
    </row>
    <row r="52" spans="1:17" x14ac:dyDescent="0.3">
      <c r="A52">
        <v>1051</v>
      </c>
      <c r="B52" t="s">
        <v>140</v>
      </c>
      <c r="C52">
        <v>21</v>
      </c>
      <c r="D52" t="s">
        <v>18</v>
      </c>
      <c r="E52" t="s">
        <v>46</v>
      </c>
      <c r="F52" t="s">
        <v>20</v>
      </c>
      <c r="G52">
        <v>4</v>
      </c>
      <c r="H52" t="s">
        <v>32</v>
      </c>
      <c r="I52">
        <v>89</v>
      </c>
      <c r="J52">
        <v>68</v>
      </c>
      <c r="K52">
        <v>54</v>
      </c>
      <c r="L52">
        <v>71</v>
      </c>
      <c r="M52">
        <v>94</v>
      </c>
      <c r="N52">
        <v>56</v>
      </c>
      <c r="O52">
        <v>68.599999999999994</v>
      </c>
      <c r="P52" t="s">
        <v>22</v>
      </c>
      <c r="Q52" t="s">
        <v>141</v>
      </c>
    </row>
    <row r="53" spans="1:17" x14ac:dyDescent="0.3">
      <c r="A53">
        <v>1052</v>
      </c>
      <c r="B53" t="s">
        <v>142</v>
      </c>
      <c r="C53">
        <v>22</v>
      </c>
      <c r="D53" t="s">
        <v>25</v>
      </c>
      <c r="E53" t="s">
        <v>50</v>
      </c>
      <c r="F53" t="s">
        <v>27</v>
      </c>
      <c r="G53">
        <v>5</v>
      </c>
      <c r="H53" t="s">
        <v>36</v>
      </c>
      <c r="I53">
        <v>96</v>
      </c>
      <c r="J53">
        <v>79</v>
      </c>
      <c r="K53">
        <v>67</v>
      </c>
      <c r="L53">
        <v>88</v>
      </c>
      <c r="M53">
        <v>52</v>
      </c>
      <c r="N53">
        <v>65</v>
      </c>
      <c r="O53">
        <v>70.2</v>
      </c>
      <c r="P53" t="s">
        <v>22</v>
      </c>
      <c r="Q53" t="s">
        <v>143</v>
      </c>
    </row>
    <row r="54" spans="1:17" x14ac:dyDescent="0.3">
      <c r="A54">
        <v>1053</v>
      </c>
      <c r="B54" t="s">
        <v>144</v>
      </c>
      <c r="C54">
        <v>23</v>
      </c>
      <c r="D54" t="s">
        <v>18</v>
      </c>
      <c r="E54" t="s">
        <v>46</v>
      </c>
      <c r="F54" t="s">
        <v>31</v>
      </c>
      <c r="G54">
        <v>6</v>
      </c>
      <c r="H54" t="s">
        <v>40</v>
      </c>
      <c r="I54">
        <v>62</v>
      </c>
      <c r="J54">
        <v>90</v>
      </c>
      <c r="K54">
        <v>80</v>
      </c>
      <c r="L54">
        <v>36</v>
      </c>
      <c r="M54">
        <v>71</v>
      </c>
      <c r="N54">
        <v>74</v>
      </c>
      <c r="O54">
        <v>70.2</v>
      </c>
      <c r="P54" t="s">
        <v>22</v>
      </c>
      <c r="Q54" t="s">
        <v>145</v>
      </c>
    </row>
    <row r="55" spans="1:17" x14ac:dyDescent="0.3">
      <c r="A55">
        <v>1054</v>
      </c>
      <c r="B55" t="s">
        <v>146</v>
      </c>
      <c r="C55">
        <v>24</v>
      </c>
      <c r="D55" t="s">
        <v>25</v>
      </c>
      <c r="E55" t="s">
        <v>50</v>
      </c>
      <c r="F55" t="s">
        <v>35</v>
      </c>
      <c r="G55">
        <v>1</v>
      </c>
      <c r="H55" t="s">
        <v>43</v>
      </c>
      <c r="I55">
        <v>69</v>
      </c>
      <c r="J55">
        <v>35</v>
      </c>
      <c r="K55">
        <v>93</v>
      </c>
      <c r="L55">
        <v>53</v>
      </c>
      <c r="M55">
        <v>90</v>
      </c>
      <c r="N55">
        <v>83</v>
      </c>
      <c r="O55">
        <v>70.8</v>
      </c>
      <c r="P55" t="s">
        <v>22</v>
      </c>
      <c r="Q55" t="s">
        <v>147</v>
      </c>
    </row>
    <row r="56" spans="1:17" x14ac:dyDescent="0.3">
      <c r="A56">
        <v>1055</v>
      </c>
      <c r="B56" t="s">
        <v>148</v>
      </c>
      <c r="C56">
        <v>25</v>
      </c>
      <c r="D56" t="s">
        <v>18</v>
      </c>
      <c r="E56" t="s">
        <v>46</v>
      </c>
      <c r="F56" t="s">
        <v>39</v>
      </c>
      <c r="G56">
        <v>2</v>
      </c>
      <c r="H56" t="s">
        <v>47</v>
      </c>
      <c r="I56">
        <v>76</v>
      </c>
      <c r="J56">
        <v>46</v>
      </c>
      <c r="K56">
        <v>35</v>
      </c>
      <c r="L56">
        <v>70</v>
      </c>
      <c r="M56">
        <v>48</v>
      </c>
      <c r="N56">
        <v>92</v>
      </c>
      <c r="O56">
        <v>58.2</v>
      </c>
      <c r="P56" t="s">
        <v>22</v>
      </c>
      <c r="Q56" t="s">
        <v>149</v>
      </c>
    </row>
    <row r="57" spans="1:17" x14ac:dyDescent="0.3">
      <c r="A57">
        <v>1056</v>
      </c>
      <c r="B57" t="s">
        <v>150</v>
      </c>
      <c r="C57">
        <v>18</v>
      </c>
      <c r="D57" t="s">
        <v>25</v>
      </c>
      <c r="E57" t="s">
        <v>65</v>
      </c>
      <c r="F57" t="s">
        <v>20</v>
      </c>
      <c r="G57">
        <v>3</v>
      </c>
      <c r="H57" t="s">
        <v>51</v>
      </c>
      <c r="I57">
        <v>83</v>
      </c>
      <c r="J57">
        <v>57</v>
      </c>
      <c r="K57">
        <v>48</v>
      </c>
      <c r="L57">
        <v>87</v>
      </c>
      <c r="M57">
        <v>67</v>
      </c>
      <c r="N57">
        <v>45</v>
      </c>
      <c r="O57">
        <v>60.8</v>
      </c>
      <c r="P57" t="s">
        <v>22</v>
      </c>
      <c r="Q57" t="s">
        <v>151</v>
      </c>
    </row>
    <row r="58" spans="1:17" x14ac:dyDescent="0.3">
      <c r="A58">
        <v>1057</v>
      </c>
      <c r="B58" t="s">
        <v>152</v>
      </c>
      <c r="C58">
        <v>19</v>
      </c>
      <c r="D58" t="s">
        <v>18</v>
      </c>
      <c r="E58" t="s">
        <v>68</v>
      </c>
      <c r="F58" t="s">
        <v>27</v>
      </c>
      <c r="G58">
        <v>4</v>
      </c>
      <c r="H58" t="s">
        <v>21</v>
      </c>
      <c r="I58">
        <v>90</v>
      </c>
      <c r="J58">
        <v>68</v>
      </c>
      <c r="K58">
        <v>61</v>
      </c>
      <c r="L58">
        <v>35</v>
      </c>
      <c r="M58">
        <v>86</v>
      </c>
      <c r="N58">
        <v>54</v>
      </c>
      <c r="O58">
        <v>60.8</v>
      </c>
      <c r="P58" t="s">
        <v>22</v>
      </c>
      <c r="Q58" t="s">
        <v>153</v>
      </c>
    </row>
    <row r="59" spans="1:17" x14ac:dyDescent="0.3">
      <c r="A59">
        <v>1058</v>
      </c>
      <c r="B59" t="s">
        <v>154</v>
      </c>
      <c r="C59">
        <v>20</v>
      </c>
      <c r="D59" t="s">
        <v>25</v>
      </c>
      <c r="E59" t="s">
        <v>65</v>
      </c>
      <c r="F59" t="s">
        <v>31</v>
      </c>
      <c r="G59">
        <v>5</v>
      </c>
      <c r="H59" t="s">
        <v>28</v>
      </c>
      <c r="I59">
        <v>97</v>
      </c>
      <c r="J59">
        <v>79</v>
      </c>
      <c r="K59">
        <v>74</v>
      </c>
      <c r="L59">
        <v>52</v>
      </c>
      <c r="M59">
        <v>44</v>
      </c>
      <c r="N59">
        <v>63</v>
      </c>
      <c r="O59">
        <v>62.4</v>
      </c>
      <c r="P59" t="s">
        <v>22</v>
      </c>
      <c r="Q59" t="s">
        <v>155</v>
      </c>
    </row>
    <row r="60" spans="1:17" x14ac:dyDescent="0.3">
      <c r="A60">
        <v>1059</v>
      </c>
      <c r="B60" t="s">
        <v>156</v>
      </c>
      <c r="C60">
        <v>21</v>
      </c>
      <c r="D60" t="s">
        <v>18</v>
      </c>
      <c r="E60" t="s">
        <v>68</v>
      </c>
      <c r="F60" t="s">
        <v>35</v>
      </c>
      <c r="G60">
        <v>6</v>
      </c>
      <c r="H60" t="s">
        <v>32</v>
      </c>
      <c r="I60">
        <v>63</v>
      </c>
      <c r="J60">
        <v>90</v>
      </c>
      <c r="K60">
        <v>87</v>
      </c>
      <c r="L60">
        <v>69</v>
      </c>
      <c r="M60">
        <v>63</v>
      </c>
      <c r="N60">
        <v>72</v>
      </c>
      <c r="O60">
        <v>76.2</v>
      </c>
      <c r="P60" t="s">
        <v>22</v>
      </c>
      <c r="Q60" t="s">
        <v>157</v>
      </c>
    </row>
    <row r="61" spans="1:17" x14ac:dyDescent="0.3">
      <c r="A61">
        <v>1060</v>
      </c>
      <c r="B61" t="s">
        <v>158</v>
      </c>
      <c r="C61">
        <v>22</v>
      </c>
      <c r="D61" t="s">
        <v>25</v>
      </c>
      <c r="E61" t="s">
        <v>65</v>
      </c>
      <c r="F61" t="s">
        <v>39</v>
      </c>
      <c r="G61">
        <v>1</v>
      </c>
      <c r="H61" t="s">
        <v>36</v>
      </c>
      <c r="I61">
        <v>70</v>
      </c>
      <c r="J61">
        <v>35</v>
      </c>
      <c r="K61">
        <v>100</v>
      </c>
      <c r="L61">
        <v>86</v>
      </c>
      <c r="M61">
        <v>82</v>
      </c>
      <c r="N61">
        <v>81</v>
      </c>
      <c r="O61">
        <v>76.8</v>
      </c>
      <c r="P61" t="s">
        <v>22</v>
      </c>
      <c r="Q61" t="s">
        <v>159</v>
      </c>
    </row>
    <row r="62" spans="1:17" x14ac:dyDescent="0.3">
      <c r="A62">
        <v>1061</v>
      </c>
      <c r="B62" t="s">
        <v>160</v>
      </c>
      <c r="C62">
        <v>23</v>
      </c>
      <c r="D62" t="s">
        <v>18</v>
      </c>
      <c r="E62" t="s">
        <v>68</v>
      </c>
      <c r="F62" t="s">
        <v>20</v>
      </c>
      <c r="G62">
        <v>2</v>
      </c>
      <c r="H62" t="s">
        <v>40</v>
      </c>
      <c r="I62">
        <v>77</v>
      </c>
      <c r="J62">
        <v>46</v>
      </c>
      <c r="K62">
        <v>42</v>
      </c>
      <c r="L62">
        <v>34</v>
      </c>
      <c r="M62">
        <v>40</v>
      </c>
      <c r="N62">
        <v>90</v>
      </c>
      <c r="O62">
        <v>50.4</v>
      </c>
      <c r="P62" t="s">
        <v>58</v>
      </c>
      <c r="Q62" t="s">
        <v>161</v>
      </c>
    </row>
    <row r="63" spans="1:17" x14ac:dyDescent="0.3">
      <c r="A63">
        <v>1062</v>
      </c>
      <c r="B63" t="s">
        <v>162</v>
      </c>
      <c r="C63">
        <v>24</v>
      </c>
      <c r="D63" t="s">
        <v>25</v>
      </c>
      <c r="E63" t="s">
        <v>65</v>
      </c>
      <c r="F63" t="s">
        <v>27</v>
      </c>
      <c r="G63">
        <v>3</v>
      </c>
      <c r="H63" t="s">
        <v>43</v>
      </c>
      <c r="I63">
        <v>84</v>
      </c>
      <c r="J63">
        <v>57</v>
      </c>
      <c r="K63">
        <v>55</v>
      </c>
      <c r="L63">
        <v>51</v>
      </c>
      <c r="M63">
        <v>59</v>
      </c>
      <c r="N63">
        <v>99</v>
      </c>
      <c r="O63">
        <v>64.2</v>
      </c>
      <c r="P63" t="s">
        <v>22</v>
      </c>
      <c r="Q63" t="s">
        <v>163</v>
      </c>
    </row>
    <row r="64" spans="1:17" x14ac:dyDescent="0.3">
      <c r="A64">
        <v>1063</v>
      </c>
      <c r="B64" t="s">
        <v>164</v>
      </c>
      <c r="C64">
        <v>25</v>
      </c>
      <c r="D64" t="s">
        <v>18</v>
      </c>
      <c r="E64" t="s">
        <v>26</v>
      </c>
      <c r="F64" t="s">
        <v>31</v>
      </c>
      <c r="G64">
        <v>4</v>
      </c>
      <c r="H64" t="s">
        <v>47</v>
      </c>
      <c r="I64">
        <v>91</v>
      </c>
      <c r="J64">
        <v>68</v>
      </c>
      <c r="K64">
        <v>68</v>
      </c>
      <c r="L64">
        <v>68</v>
      </c>
      <c r="M64">
        <v>78</v>
      </c>
      <c r="N64">
        <v>52</v>
      </c>
      <c r="O64">
        <v>66.8</v>
      </c>
      <c r="P64" t="s">
        <v>22</v>
      </c>
      <c r="Q64" t="s">
        <v>165</v>
      </c>
    </row>
    <row r="65" spans="1:17" x14ac:dyDescent="0.3">
      <c r="A65">
        <v>1064</v>
      </c>
      <c r="B65" t="s">
        <v>166</v>
      </c>
      <c r="C65">
        <v>18</v>
      </c>
      <c r="D65" t="s">
        <v>25</v>
      </c>
      <c r="E65" t="s">
        <v>19</v>
      </c>
      <c r="F65" t="s">
        <v>35</v>
      </c>
      <c r="G65">
        <v>5</v>
      </c>
      <c r="H65" t="s">
        <v>51</v>
      </c>
      <c r="I65">
        <v>98</v>
      </c>
      <c r="J65">
        <v>79</v>
      </c>
      <c r="K65">
        <v>81</v>
      </c>
      <c r="L65">
        <v>85</v>
      </c>
      <c r="M65">
        <v>97</v>
      </c>
      <c r="N65">
        <v>61</v>
      </c>
      <c r="O65">
        <v>80.599999999999994</v>
      </c>
      <c r="P65" t="s">
        <v>22</v>
      </c>
      <c r="Q65" t="s">
        <v>167</v>
      </c>
    </row>
    <row r="66" spans="1:17" x14ac:dyDescent="0.3">
      <c r="A66">
        <v>1065</v>
      </c>
      <c r="B66" t="s">
        <v>168</v>
      </c>
      <c r="C66">
        <v>19</v>
      </c>
      <c r="D66" t="s">
        <v>18</v>
      </c>
      <c r="E66" t="s">
        <v>26</v>
      </c>
      <c r="F66" t="s">
        <v>39</v>
      </c>
      <c r="G66">
        <v>6</v>
      </c>
      <c r="H66" t="s">
        <v>21</v>
      </c>
      <c r="I66">
        <v>64</v>
      </c>
      <c r="J66">
        <v>90</v>
      </c>
      <c r="K66">
        <v>94</v>
      </c>
      <c r="L66">
        <v>33</v>
      </c>
      <c r="M66">
        <v>55</v>
      </c>
      <c r="N66">
        <v>70</v>
      </c>
      <c r="O66">
        <v>68.400000000000006</v>
      </c>
      <c r="P66" t="s">
        <v>58</v>
      </c>
      <c r="Q66" t="s">
        <v>169</v>
      </c>
    </row>
    <row r="67" spans="1:17" x14ac:dyDescent="0.3">
      <c r="A67">
        <v>1066</v>
      </c>
      <c r="B67" t="s">
        <v>170</v>
      </c>
      <c r="C67">
        <v>20</v>
      </c>
      <c r="D67" t="s">
        <v>25</v>
      </c>
      <c r="E67" t="s">
        <v>19</v>
      </c>
      <c r="F67" t="s">
        <v>20</v>
      </c>
      <c r="G67">
        <v>1</v>
      </c>
      <c r="H67" t="s">
        <v>28</v>
      </c>
      <c r="I67">
        <v>71</v>
      </c>
      <c r="J67">
        <v>35</v>
      </c>
      <c r="K67">
        <v>36</v>
      </c>
      <c r="L67">
        <v>50</v>
      </c>
      <c r="M67">
        <v>74</v>
      </c>
      <c r="N67">
        <v>79</v>
      </c>
      <c r="O67">
        <v>54.8</v>
      </c>
      <c r="P67" t="s">
        <v>22</v>
      </c>
      <c r="Q67" t="s">
        <v>171</v>
      </c>
    </row>
    <row r="68" spans="1:17" x14ac:dyDescent="0.3">
      <c r="A68">
        <v>1067</v>
      </c>
      <c r="B68" t="s">
        <v>172</v>
      </c>
      <c r="C68">
        <v>21</v>
      </c>
      <c r="D68" t="s">
        <v>18</v>
      </c>
      <c r="E68" t="s">
        <v>26</v>
      </c>
      <c r="F68" t="s">
        <v>27</v>
      </c>
      <c r="G68">
        <v>2</v>
      </c>
      <c r="H68" t="s">
        <v>32</v>
      </c>
      <c r="I68">
        <v>78</v>
      </c>
      <c r="J68">
        <v>46</v>
      </c>
      <c r="K68">
        <v>49</v>
      </c>
      <c r="L68">
        <v>67</v>
      </c>
      <c r="M68">
        <v>93</v>
      </c>
      <c r="N68">
        <v>88</v>
      </c>
      <c r="O68">
        <v>68.599999999999994</v>
      </c>
      <c r="P68" t="s">
        <v>22</v>
      </c>
      <c r="Q68" t="s">
        <v>173</v>
      </c>
    </row>
    <row r="69" spans="1:17" x14ac:dyDescent="0.3">
      <c r="A69">
        <v>1068</v>
      </c>
      <c r="B69" t="s">
        <v>174</v>
      </c>
      <c r="C69">
        <v>22</v>
      </c>
      <c r="D69" t="s">
        <v>25</v>
      </c>
      <c r="E69" t="s">
        <v>19</v>
      </c>
      <c r="F69" t="s">
        <v>31</v>
      </c>
      <c r="G69">
        <v>3</v>
      </c>
      <c r="H69" t="s">
        <v>36</v>
      </c>
      <c r="I69">
        <v>85</v>
      </c>
      <c r="J69">
        <v>57</v>
      </c>
      <c r="K69">
        <v>62</v>
      </c>
      <c r="L69">
        <v>84</v>
      </c>
      <c r="M69">
        <v>51</v>
      </c>
      <c r="N69">
        <v>97</v>
      </c>
      <c r="O69">
        <v>70.2</v>
      </c>
      <c r="P69" t="s">
        <v>22</v>
      </c>
      <c r="Q69" t="s">
        <v>175</v>
      </c>
    </row>
    <row r="70" spans="1:17" x14ac:dyDescent="0.3">
      <c r="A70">
        <v>1069</v>
      </c>
      <c r="B70" t="s">
        <v>176</v>
      </c>
      <c r="C70">
        <v>23</v>
      </c>
      <c r="D70" t="s">
        <v>18</v>
      </c>
      <c r="E70" t="s">
        <v>26</v>
      </c>
      <c r="F70" t="s">
        <v>35</v>
      </c>
      <c r="G70">
        <v>4</v>
      </c>
      <c r="H70" t="s">
        <v>40</v>
      </c>
      <c r="I70">
        <v>92</v>
      </c>
      <c r="J70">
        <v>68</v>
      </c>
      <c r="K70">
        <v>75</v>
      </c>
      <c r="L70">
        <v>32</v>
      </c>
      <c r="M70">
        <v>70</v>
      </c>
      <c r="N70">
        <v>50</v>
      </c>
      <c r="O70">
        <v>59</v>
      </c>
      <c r="P70" t="s">
        <v>58</v>
      </c>
      <c r="Q70" t="s">
        <v>177</v>
      </c>
    </row>
    <row r="71" spans="1:17" x14ac:dyDescent="0.3">
      <c r="A71">
        <v>1070</v>
      </c>
      <c r="B71" t="s">
        <v>178</v>
      </c>
      <c r="C71">
        <v>24</v>
      </c>
      <c r="D71" t="s">
        <v>25</v>
      </c>
      <c r="E71" t="s">
        <v>46</v>
      </c>
      <c r="F71" t="s">
        <v>39</v>
      </c>
      <c r="G71">
        <v>5</v>
      </c>
      <c r="H71" t="s">
        <v>43</v>
      </c>
      <c r="I71">
        <v>99</v>
      </c>
      <c r="J71">
        <v>79</v>
      </c>
      <c r="K71">
        <v>88</v>
      </c>
      <c r="L71">
        <v>49</v>
      </c>
      <c r="M71">
        <v>89</v>
      </c>
      <c r="N71">
        <v>59</v>
      </c>
      <c r="O71">
        <v>72.8</v>
      </c>
      <c r="P71" t="s">
        <v>22</v>
      </c>
      <c r="Q71" t="s">
        <v>179</v>
      </c>
    </row>
    <row r="72" spans="1:17" x14ac:dyDescent="0.3">
      <c r="A72">
        <v>1071</v>
      </c>
      <c r="B72" t="s">
        <v>180</v>
      </c>
      <c r="C72">
        <v>25</v>
      </c>
      <c r="D72" t="s">
        <v>18</v>
      </c>
      <c r="E72" t="s">
        <v>50</v>
      </c>
      <c r="F72" t="s">
        <v>20</v>
      </c>
      <c r="G72">
        <v>6</v>
      </c>
      <c r="H72" t="s">
        <v>47</v>
      </c>
      <c r="I72">
        <v>65</v>
      </c>
      <c r="J72">
        <v>90</v>
      </c>
      <c r="K72">
        <v>30</v>
      </c>
      <c r="L72">
        <v>66</v>
      </c>
      <c r="M72">
        <v>47</v>
      </c>
      <c r="N72">
        <v>68</v>
      </c>
      <c r="O72">
        <v>60.2</v>
      </c>
      <c r="P72" t="s">
        <v>58</v>
      </c>
      <c r="Q72" t="s">
        <v>181</v>
      </c>
    </row>
    <row r="73" spans="1:17" x14ac:dyDescent="0.3">
      <c r="A73">
        <v>1072</v>
      </c>
      <c r="B73" t="s">
        <v>182</v>
      </c>
      <c r="C73">
        <v>18</v>
      </c>
      <c r="D73" t="s">
        <v>25</v>
      </c>
      <c r="E73" t="s">
        <v>46</v>
      </c>
      <c r="F73" t="s">
        <v>27</v>
      </c>
      <c r="G73">
        <v>1</v>
      </c>
      <c r="H73" t="s">
        <v>51</v>
      </c>
      <c r="I73">
        <v>72</v>
      </c>
      <c r="J73">
        <v>35</v>
      </c>
      <c r="K73">
        <v>43</v>
      </c>
      <c r="L73">
        <v>83</v>
      </c>
      <c r="M73">
        <v>66</v>
      </c>
      <c r="N73">
        <v>77</v>
      </c>
      <c r="O73">
        <v>60.8</v>
      </c>
      <c r="P73" t="s">
        <v>22</v>
      </c>
      <c r="Q73" t="s">
        <v>183</v>
      </c>
    </row>
    <row r="74" spans="1:17" x14ac:dyDescent="0.3">
      <c r="A74">
        <v>1073</v>
      </c>
      <c r="B74" t="s">
        <v>184</v>
      </c>
      <c r="C74">
        <v>19</v>
      </c>
      <c r="D74" t="s">
        <v>18</v>
      </c>
      <c r="E74" t="s">
        <v>50</v>
      </c>
      <c r="F74" t="s">
        <v>31</v>
      </c>
      <c r="G74">
        <v>2</v>
      </c>
      <c r="H74" t="s">
        <v>21</v>
      </c>
      <c r="I74">
        <v>79</v>
      </c>
      <c r="J74">
        <v>46</v>
      </c>
      <c r="K74">
        <v>56</v>
      </c>
      <c r="L74">
        <v>100</v>
      </c>
      <c r="M74">
        <v>85</v>
      </c>
      <c r="N74">
        <v>86</v>
      </c>
      <c r="O74">
        <v>74.599999999999994</v>
      </c>
      <c r="P74" t="s">
        <v>22</v>
      </c>
      <c r="Q74" t="s">
        <v>185</v>
      </c>
    </row>
    <row r="75" spans="1:17" x14ac:dyDescent="0.3">
      <c r="A75">
        <v>1074</v>
      </c>
      <c r="B75" t="s">
        <v>186</v>
      </c>
      <c r="C75">
        <v>20</v>
      </c>
      <c r="D75" t="s">
        <v>25</v>
      </c>
      <c r="E75" t="s">
        <v>46</v>
      </c>
      <c r="F75" t="s">
        <v>35</v>
      </c>
      <c r="G75">
        <v>3</v>
      </c>
      <c r="H75" t="s">
        <v>28</v>
      </c>
      <c r="I75">
        <v>86</v>
      </c>
      <c r="J75">
        <v>57</v>
      </c>
      <c r="K75">
        <v>69</v>
      </c>
      <c r="L75">
        <v>48</v>
      </c>
      <c r="M75">
        <v>43</v>
      </c>
      <c r="N75">
        <v>95</v>
      </c>
      <c r="O75">
        <v>62.4</v>
      </c>
      <c r="P75" t="s">
        <v>22</v>
      </c>
      <c r="Q75" t="s">
        <v>187</v>
      </c>
    </row>
    <row r="76" spans="1:17" x14ac:dyDescent="0.3">
      <c r="A76">
        <v>1075</v>
      </c>
      <c r="B76" t="s">
        <v>188</v>
      </c>
      <c r="C76">
        <v>21</v>
      </c>
      <c r="D76" t="s">
        <v>18</v>
      </c>
      <c r="E76" t="s">
        <v>50</v>
      </c>
      <c r="F76" t="s">
        <v>39</v>
      </c>
      <c r="G76">
        <v>4</v>
      </c>
      <c r="H76" t="s">
        <v>32</v>
      </c>
      <c r="I76">
        <v>93</v>
      </c>
      <c r="J76">
        <v>68</v>
      </c>
      <c r="K76">
        <v>82</v>
      </c>
      <c r="L76">
        <v>65</v>
      </c>
      <c r="M76">
        <v>62</v>
      </c>
      <c r="N76">
        <v>48</v>
      </c>
      <c r="O76">
        <v>65</v>
      </c>
      <c r="P76" t="s">
        <v>22</v>
      </c>
      <c r="Q76" t="s">
        <v>189</v>
      </c>
    </row>
    <row r="77" spans="1:17" x14ac:dyDescent="0.3">
      <c r="A77">
        <v>1076</v>
      </c>
      <c r="B77" t="s">
        <v>190</v>
      </c>
      <c r="C77">
        <v>22</v>
      </c>
      <c r="D77" t="s">
        <v>25</v>
      </c>
      <c r="E77" t="s">
        <v>46</v>
      </c>
      <c r="F77" t="s">
        <v>20</v>
      </c>
      <c r="G77">
        <v>5</v>
      </c>
      <c r="H77" t="s">
        <v>36</v>
      </c>
      <c r="I77">
        <v>100</v>
      </c>
      <c r="J77">
        <v>79</v>
      </c>
      <c r="K77">
        <v>95</v>
      </c>
      <c r="L77">
        <v>82</v>
      </c>
      <c r="M77">
        <v>81</v>
      </c>
      <c r="N77">
        <v>57</v>
      </c>
      <c r="O77">
        <v>78.8</v>
      </c>
      <c r="P77" t="s">
        <v>22</v>
      </c>
      <c r="Q77" t="s">
        <v>191</v>
      </c>
    </row>
    <row r="78" spans="1:17" x14ac:dyDescent="0.3">
      <c r="A78">
        <v>1077</v>
      </c>
      <c r="B78" t="s">
        <v>192</v>
      </c>
      <c r="C78">
        <v>23</v>
      </c>
      <c r="D78" t="s">
        <v>18</v>
      </c>
      <c r="E78" t="s">
        <v>65</v>
      </c>
      <c r="F78" t="s">
        <v>27</v>
      </c>
      <c r="G78">
        <v>6</v>
      </c>
      <c r="H78" t="s">
        <v>40</v>
      </c>
      <c r="I78">
        <v>66</v>
      </c>
      <c r="J78">
        <v>90</v>
      </c>
      <c r="K78">
        <v>37</v>
      </c>
      <c r="L78">
        <v>99</v>
      </c>
      <c r="M78">
        <v>100</v>
      </c>
      <c r="N78">
        <v>66</v>
      </c>
      <c r="O78">
        <v>78.400000000000006</v>
      </c>
      <c r="P78" t="s">
        <v>22</v>
      </c>
      <c r="Q78" t="s">
        <v>193</v>
      </c>
    </row>
    <row r="79" spans="1:17" x14ac:dyDescent="0.3">
      <c r="A79">
        <v>1078</v>
      </c>
      <c r="B79" t="s">
        <v>194</v>
      </c>
      <c r="C79">
        <v>24</v>
      </c>
      <c r="D79" t="s">
        <v>25</v>
      </c>
      <c r="E79" t="s">
        <v>68</v>
      </c>
      <c r="F79" t="s">
        <v>31</v>
      </c>
      <c r="G79">
        <v>1</v>
      </c>
      <c r="H79" t="s">
        <v>43</v>
      </c>
      <c r="I79">
        <v>73</v>
      </c>
      <c r="J79">
        <v>35</v>
      </c>
      <c r="K79">
        <v>50</v>
      </c>
      <c r="L79">
        <v>47</v>
      </c>
      <c r="M79">
        <v>58</v>
      </c>
      <c r="N79">
        <v>75</v>
      </c>
      <c r="O79">
        <v>53</v>
      </c>
      <c r="P79" t="s">
        <v>22</v>
      </c>
      <c r="Q79" t="s">
        <v>195</v>
      </c>
    </row>
    <row r="80" spans="1:17" x14ac:dyDescent="0.3">
      <c r="A80">
        <v>1079</v>
      </c>
      <c r="B80" t="s">
        <v>196</v>
      </c>
      <c r="C80">
        <v>25</v>
      </c>
      <c r="D80" t="s">
        <v>18</v>
      </c>
      <c r="E80" t="s">
        <v>65</v>
      </c>
      <c r="F80" t="s">
        <v>35</v>
      </c>
      <c r="G80">
        <v>2</v>
      </c>
      <c r="H80" t="s">
        <v>47</v>
      </c>
      <c r="I80">
        <v>80</v>
      </c>
      <c r="J80">
        <v>46</v>
      </c>
      <c r="K80">
        <v>63</v>
      </c>
      <c r="L80">
        <v>64</v>
      </c>
      <c r="M80">
        <v>77</v>
      </c>
      <c r="N80">
        <v>84</v>
      </c>
      <c r="O80">
        <v>66.8</v>
      </c>
      <c r="P80" t="s">
        <v>22</v>
      </c>
      <c r="Q80" t="s">
        <v>197</v>
      </c>
    </row>
    <row r="81" spans="1:17" x14ac:dyDescent="0.3">
      <c r="A81">
        <v>1080</v>
      </c>
      <c r="B81" t="s">
        <v>198</v>
      </c>
      <c r="C81">
        <v>18</v>
      </c>
      <c r="D81" t="s">
        <v>25</v>
      </c>
      <c r="E81" t="s">
        <v>68</v>
      </c>
      <c r="F81" t="s">
        <v>39</v>
      </c>
      <c r="G81">
        <v>3</v>
      </c>
      <c r="H81" t="s">
        <v>51</v>
      </c>
      <c r="I81">
        <v>87</v>
      </c>
      <c r="J81">
        <v>57</v>
      </c>
      <c r="K81">
        <v>76</v>
      </c>
      <c r="L81">
        <v>81</v>
      </c>
      <c r="M81">
        <v>96</v>
      </c>
      <c r="N81">
        <v>93</v>
      </c>
      <c r="O81">
        <v>80.599999999999994</v>
      </c>
      <c r="P81" t="s">
        <v>22</v>
      </c>
      <c r="Q81" t="s">
        <v>199</v>
      </c>
    </row>
    <row r="82" spans="1:17" x14ac:dyDescent="0.3">
      <c r="A82">
        <v>1081</v>
      </c>
      <c r="B82" t="s">
        <v>200</v>
      </c>
      <c r="C82">
        <v>19</v>
      </c>
      <c r="D82" t="s">
        <v>18</v>
      </c>
      <c r="E82" t="s">
        <v>65</v>
      </c>
      <c r="F82" t="s">
        <v>20</v>
      </c>
      <c r="G82">
        <v>4</v>
      </c>
      <c r="H82" t="s">
        <v>21</v>
      </c>
      <c r="I82">
        <v>94</v>
      </c>
      <c r="J82">
        <v>68</v>
      </c>
      <c r="K82">
        <v>89</v>
      </c>
      <c r="L82">
        <v>98</v>
      </c>
      <c r="M82">
        <v>54</v>
      </c>
      <c r="N82">
        <v>46</v>
      </c>
      <c r="O82">
        <v>71</v>
      </c>
      <c r="P82" t="s">
        <v>22</v>
      </c>
      <c r="Q82" t="s">
        <v>201</v>
      </c>
    </row>
    <row r="83" spans="1:17" x14ac:dyDescent="0.3">
      <c r="A83">
        <v>1082</v>
      </c>
      <c r="B83" t="s">
        <v>202</v>
      </c>
      <c r="C83">
        <v>20</v>
      </c>
      <c r="D83" t="s">
        <v>25</v>
      </c>
      <c r="E83" t="s">
        <v>68</v>
      </c>
      <c r="F83" t="s">
        <v>27</v>
      </c>
      <c r="G83">
        <v>5</v>
      </c>
      <c r="H83" t="s">
        <v>28</v>
      </c>
      <c r="I83">
        <v>60</v>
      </c>
      <c r="J83">
        <v>79</v>
      </c>
      <c r="K83">
        <v>31</v>
      </c>
      <c r="L83">
        <v>46</v>
      </c>
      <c r="M83">
        <v>73</v>
      </c>
      <c r="N83">
        <v>55</v>
      </c>
      <c r="O83">
        <v>56.8</v>
      </c>
      <c r="P83" t="s">
        <v>58</v>
      </c>
      <c r="Q83" t="s">
        <v>203</v>
      </c>
    </row>
    <row r="84" spans="1:17" x14ac:dyDescent="0.3">
      <c r="A84">
        <v>1083</v>
      </c>
      <c r="B84" t="s">
        <v>204</v>
      </c>
      <c r="C84">
        <v>21</v>
      </c>
      <c r="D84" t="s">
        <v>18</v>
      </c>
      <c r="E84" t="s">
        <v>65</v>
      </c>
      <c r="F84" t="s">
        <v>31</v>
      </c>
      <c r="G84">
        <v>6</v>
      </c>
      <c r="H84" t="s">
        <v>32</v>
      </c>
      <c r="I84">
        <v>67</v>
      </c>
      <c r="J84">
        <v>90</v>
      </c>
      <c r="K84">
        <v>44</v>
      </c>
      <c r="L84">
        <v>63</v>
      </c>
      <c r="M84">
        <v>92</v>
      </c>
      <c r="N84">
        <v>64</v>
      </c>
      <c r="O84">
        <v>70.599999999999994</v>
      </c>
      <c r="P84" t="s">
        <v>22</v>
      </c>
      <c r="Q84" t="s">
        <v>205</v>
      </c>
    </row>
    <row r="85" spans="1:17" x14ac:dyDescent="0.3">
      <c r="A85">
        <v>1084</v>
      </c>
      <c r="B85" t="s">
        <v>206</v>
      </c>
      <c r="C85">
        <v>22</v>
      </c>
      <c r="D85" t="s">
        <v>25</v>
      </c>
      <c r="E85" t="s">
        <v>26</v>
      </c>
      <c r="F85" t="s">
        <v>35</v>
      </c>
      <c r="G85">
        <v>1</v>
      </c>
      <c r="H85" t="s">
        <v>36</v>
      </c>
      <c r="I85">
        <v>74</v>
      </c>
      <c r="J85">
        <v>35</v>
      </c>
      <c r="K85">
        <v>57</v>
      </c>
      <c r="L85">
        <v>80</v>
      </c>
      <c r="M85">
        <v>50</v>
      </c>
      <c r="N85">
        <v>73</v>
      </c>
      <c r="O85">
        <v>59</v>
      </c>
      <c r="P85" t="s">
        <v>22</v>
      </c>
      <c r="Q85" t="s">
        <v>207</v>
      </c>
    </row>
    <row r="86" spans="1:17" x14ac:dyDescent="0.3">
      <c r="A86">
        <v>1085</v>
      </c>
      <c r="B86" t="s">
        <v>208</v>
      </c>
      <c r="C86">
        <v>23</v>
      </c>
      <c r="D86" t="s">
        <v>18</v>
      </c>
      <c r="E86" t="s">
        <v>19</v>
      </c>
      <c r="F86" t="s">
        <v>39</v>
      </c>
      <c r="G86">
        <v>2</v>
      </c>
      <c r="H86" t="s">
        <v>40</v>
      </c>
      <c r="I86">
        <v>81</v>
      </c>
      <c r="J86">
        <v>46</v>
      </c>
      <c r="K86">
        <v>70</v>
      </c>
      <c r="L86">
        <v>97</v>
      </c>
      <c r="M86">
        <v>69</v>
      </c>
      <c r="N86">
        <v>82</v>
      </c>
      <c r="O86">
        <v>72.8</v>
      </c>
      <c r="P86" t="s">
        <v>22</v>
      </c>
      <c r="Q86" t="s">
        <v>209</v>
      </c>
    </row>
    <row r="87" spans="1:17" x14ac:dyDescent="0.3">
      <c r="A87">
        <v>1086</v>
      </c>
      <c r="B87" t="s">
        <v>210</v>
      </c>
      <c r="C87">
        <v>24</v>
      </c>
      <c r="D87" t="s">
        <v>25</v>
      </c>
      <c r="E87" t="s">
        <v>26</v>
      </c>
      <c r="F87" t="s">
        <v>20</v>
      </c>
      <c r="G87">
        <v>3</v>
      </c>
      <c r="H87" t="s">
        <v>43</v>
      </c>
      <c r="I87">
        <v>88</v>
      </c>
      <c r="J87">
        <v>57</v>
      </c>
      <c r="K87">
        <v>83</v>
      </c>
      <c r="L87">
        <v>45</v>
      </c>
      <c r="M87">
        <v>88</v>
      </c>
      <c r="N87">
        <v>91</v>
      </c>
      <c r="O87">
        <v>72.8</v>
      </c>
      <c r="P87" t="s">
        <v>22</v>
      </c>
      <c r="Q87" t="s">
        <v>211</v>
      </c>
    </row>
    <row r="88" spans="1:17" x14ac:dyDescent="0.3">
      <c r="A88">
        <v>1087</v>
      </c>
      <c r="B88" t="s">
        <v>212</v>
      </c>
      <c r="C88">
        <v>25</v>
      </c>
      <c r="D88" t="s">
        <v>18</v>
      </c>
      <c r="E88" t="s">
        <v>19</v>
      </c>
      <c r="F88" t="s">
        <v>27</v>
      </c>
      <c r="G88">
        <v>4</v>
      </c>
      <c r="H88" t="s">
        <v>47</v>
      </c>
      <c r="I88">
        <v>95</v>
      </c>
      <c r="J88">
        <v>68</v>
      </c>
      <c r="K88">
        <v>96</v>
      </c>
      <c r="L88">
        <v>62</v>
      </c>
      <c r="M88">
        <v>46</v>
      </c>
      <c r="N88">
        <v>100</v>
      </c>
      <c r="O88">
        <v>74.400000000000006</v>
      </c>
      <c r="P88" t="s">
        <v>22</v>
      </c>
      <c r="Q88" t="s">
        <v>213</v>
      </c>
    </row>
    <row r="89" spans="1:17" x14ac:dyDescent="0.3">
      <c r="A89">
        <v>1088</v>
      </c>
      <c r="B89" t="s">
        <v>214</v>
      </c>
      <c r="C89">
        <v>18</v>
      </c>
      <c r="D89" t="s">
        <v>25</v>
      </c>
      <c r="E89" t="s">
        <v>26</v>
      </c>
      <c r="F89" t="s">
        <v>31</v>
      </c>
      <c r="G89">
        <v>5</v>
      </c>
      <c r="H89" t="s">
        <v>51</v>
      </c>
      <c r="I89">
        <v>61</v>
      </c>
      <c r="J89">
        <v>79</v>
      </c>
      <c r="K89">
        <v>38</v>
      </c>
      <c r="L89">
        <v>79</v>
      </c>
      <c r="M89">
        <v>65</v>
      </c>
      <c r="N89">
        <v>53</v>
      </c>
      <c r="O89">
        <v>62.8</v>
      </c>
      <c r="P89" t="s">
        <v>22</v>
      </c>
      <c r="Q89" t="s">
        <v>215</v>
      </c>
    </row>
    <row r="90" spans="1:17" x14ac:dyDescent="0.3">
      <c r="A90">
        <v>1089</v>
      </c>
      <c r="B90" t="s">
        <v>216</v>
      </c>
      <c r="C90">
        <v>19</v>
      </c>
      <c r="D90" t="s">
        <v>18</v>
      </c>
      <c r="E90" t="s">
        <v>19</v>
      </c>
      <c r="F90" t="s">
        <v>35</v>
      </c>
      <c r="G90">
        <v>6</v>
      </c>
      <c r="H90" t="s">
        <v>21</v>
      </c>
      <c r="I90">
        <v>68</v>
      </c>
      <c r="J90">
        <v>90</v>
      </c>
      <c r="K90">
        <v>51</v>
      </c>
      <c r="L90">
        <v>96</v>
      </c>
      <c r="M90">
        <v>84</v>
      </c>
      <c r="N90">
        <v>62</v>
      </c>
      <c r="O90">
        <v>76.599999999999994</v>
      </c>
      <c r="P90" t="s">
        <v>22</v>
      </c>
      <c r="Q90" t="s">
        <v>217</v>
      </c>
    </row>
    <row r="91" spans="1:17" x14ac:dyDescent="0.3">
      <c r="A91">
        <v>1090</v>
      </c>
      <c r="B91" t="s">
        <v>218</v>
      </c>
      <c r="C91">
        <v>20</v>
      </c>
      <c r="D91" t="s">
        <v>25</v>
      </c>
      <c r="E91" t="s">
        <v>26</v>
      </c>
      <c r="F91" t="s">
        <v>39</v>
      </c>
      <c r="G91">
        <v>1</v>
      </c>
      <c r="H91" t="s">
        <v>28</v>
      </c>
      <c r="I91">
        <v>75</v>
      </c>
      <c r="J91">
        <v>35</v>
      </c>
      <c r="K91">
        <v>64</v>
      </c>
      <c r="L91">
        <v>44</v>
      </c>
      <c r="M91">
        <v>42</v>
      </c>
      <c r="N91">
        <v>71</v>
      </c>
      <c r="O91">
        <v>51.2</v>
      </c>
      <c r="P91" t="s">
        <v>22</v>
      </c>
      <c r="Q91" t="s">
        <v>219</v>
      </c>
    </row>
    <row r="92" spans="1:17" x14ac:dyDescent="0.3">
      <c r="A92">
        <v>1091</v>
      </c>
      <c r="B92" t="s">
        <v>220</v>
      </c>
      <c r="C92">
        <v>21</v>
      </c>
      <c r="D92" t="s">
        <v>18</v>
      </c>
      <c r="E92" t="s">
        <v>46</v>
      </c>
      <c r="F92" t="s">
        <v>20</v>
      </c>
      <c r="G92">
        <v>2</v>
      </c>
      <c r="H92" t="s">
        <v>32</v>
      </c>
      <c r="I92">
        <v>82</v>
      </c>
      <c r="J92">
        <v>46</v>
      </c>
      <c r="K92">
        <v>77</v>
      </c>
      <c r="L92">
        <v>61</v>
      </c>
      <c r="M92">
        <v>61</v>
      </c>
      <c r="N92">
        <v>80</v>
      </c>
      <c r="O92">
        <v>65</v>
      </c>
      <c r="P92" t="s">
        <v>22</v>
      </c>
      <c r="Q92" t="s">
        <v>221</v>
      </c>
    </row>
    <row r="93" spans="1:17" x14ac:dyDescent="0.3">
      <c r="A93">
        <v>1092</v>
      </c>
      <c r="B93" t="s">
        <v>222</v>
      </c>
      <c r="C93">
        <v>22</v>
      </c>
      <c r="D93" t="s">
        <v>25</v>
      </c>
      <c r="E93" t="s">
        <v>50</v>
      </c>
      <c r="F93" t="s">
        <v>27</v>
      </c>
      <c r="G93">
        <v>3</v>
      </c>
      <c r="H93" t="s">
        <v>36</v>
      </c>
      <c r="I93">
        <v>89</v>
      </c>
      <c r="J93">
        <v>57</v>
      </c>
      <c r="K93">
        <v>90</v>
      </c>
      <c r="L93">
        <v>78</v>
      </c>
      <c r="M93">
        <v>80</v>
      </c>
      <c r="N93">
        <v>89</v>
      </c>
      <c r="O93">
        <v>78.8</v>
      </c>
      <c r="P93" t="s">
        <v>22</v>
      </c>
      <c r="Q93" t="s">
        <v>223</v>
      </c>
    </row>
    <row r="94" spans="1:17" x14ac:dyDescent="0.3">
      <c r="A94">
        <v>1093</v>
      </c>
      <c r="B94" t="s">
        <v>224</v>
      </c>
      <c r="C94">
        <v>23</v>
      </c>
      <c r="D94" t="s">
        <v>18</v>
      </c>
      <c r="E94" t="s">
        <v>46</v>
      </c>
      <c r="F94" t="s">
        <v>31</v>
      </c>
      <c r="G94">
        <v>4</v>
      </c>
      <c r="H94" t="s">
        <v>40</v>
      </c>
      <c r="I94">
        <v>96</v>
      </c>
      <c r="J94">
        <v>68</v>
      </c>
      <c r="K94">
        <v>32</v>
      </c>
      <c r="L94">
        <v>95</v>
      </c>
      <c r="M94">
        <v>99</v>
      </c>
      <c r="N94">
        <v>98</v>
      </c>
      <c r="O94">
        <v>78.400000000000006</v>
      </c>
      <c r="P94" t="s">
        <v>58</v>
      </c>
      <c r="Q94" t="s">
        <v>225</v>
      </c>
    </row>
    <row r="95" spans="1:17" x14ac:dyDescent="0.3">
      <c r="A95">
        <v>1094</v>
      </c>
      <c r="B95" t="s">
        <v>226</v>
      </c>
      <c r="C95">
        <v>24</v>
      </c>
      <c r="D95" t="s">
        <v>25</v>
      </c>
      <c r="E95" t="s">
        <v>50</v>
      </c>
      <c r="F95" t="s">
        <v>35</v>
      </c>
      <c r="G95">
        <v>5</v>
      </c>
      <c r="H95" t="s">
        <v>43</v>
      </c>
      <c r="I95">
        <v>62</v>
      </c>
      <c r="J95">
        <v>79</v>
      </c>
      <c r="K95">
        <v>45</v>
      </c>
      <c r="L95">
        <v>43</v>
      </c>
      <c r="M95">
        <v>57</v>
      </c>
      <c r="N95">
        <v>51</v>
      </c>
      <c r="O95">
        <v>55</v>
      </c>
      <c r="P95" t="s">
        <v>22</v>
      </c>
      <c r="Q95" t="s">
        <v>227</v>
      </c>
    </row>
    <row r="96" spans="1:17" x14ac:dyDescent="0.3">
      <c r="A96">
        <v>1095</v>
      </c>
      <c r="B96" t="s">
        <v>228</v>
      </c>
      <c r="C96">
        <v>25</v>
      </c>
      <c r="D96" t="s">
        <v>18</v>
      </c>
      <c r="E96" t="s">
        <v>46</v>
      </c>
      <c r="F96" t="s">
        <v>39</v>
      </c>
      <c r="G96">
        <v>6</v>
      </c>
      <c r="H96" t="s">
        <v>47</v>
      </c>
      <c r="I96">
        <v>69</v>
      </c>
      <c r="J96">
        <v>90</v>
      </c>
      <c r="K96">
        <v>58</v>
      </c>
      <c r="L96">
        <v>60</v>
      </c>
      <c r="M96">
        <v>76</v>
      </c>
      <c r="N96">
        <v>60</v>
      </c>
      <c r="O96">
        <v>68.8</v>
      </c>
      <c r="P96" t="s">
        <v>22</v>
      </c>
      <c r="Q96" t="s">
        <v>229</v>
      </c>
    </row>
    <row r="97" spans="1:17" x14ac:dyDescent="0.3">
      <c r="A97">
        <v>1096</v>
      </c>
      <c r="B97" t="s">
        <v>230</v>
      </c>
      <c r="C97">
        <v>18</v>
      </c>
      <c r="D97" t="s">
        <v>25</v>
      </c>
      <c r="E97" t="s">
        <v>50</v>
      </c>
      <c r="F97" t="s">
        <v>20</v>
      </c>
      <c r="G97">
        <v>1</v>
      </c>
      <c r="H97" t="s">
        <v>51</v>
      </c>
      <c r="I97">
        <v>76</v>
      </c>
      <c r="J97">
        <v>35</v>
      </c>
      <c r="K97">
        <v>71</v>
      </c>
      <c r="L97">
        <v>77</v>
      </c>
      <c r="M97">
        <v>95</v>
      </c>
      <c r="N97">
        <v>69</v>
      </c>
      <c r="O97">
        <v>69.400000000000006</v>
      </c>
      <c r="P97" t="s">
        <v>22</v>
      </c>
      <c r="Q97" t="s">
        <v>231</v>
      </c>
    </row>
    <row r="98" spans="1:17" x14ac:dyDescent="0.3">
      <c r="A98">
        <v>1097</v>
      </c>
      <c r="B98" t="s">
        <v>232</v>
      </c>
      <c r="C98">
        <v>19</v>
      </c>
      <c r="D98" t="s">
        <v>18</v>
      </c>
      <c r="E98" t="s">
        <v>46</v>
      </c>
      <c r="F98" t="s">
        <v>27</v>
      </c>
      <c r="G98">
        <v>2</v>
      </c>
      <c r="H98" t="s">
        <v>21</v>
      </c>
      <c r="I98">
        <v>83</v>
      </c>
      <c r="J98">
        <v>46</v>
      </c>
      <c r="K98">
        <v>84</v>
      </c>
      <c r="L98">
        <v>94</v>
      </c>
      <c r="M98">
        <v>53</v>
      </c>
      <c r="N98">
        <v>78</v>
      </c>
      <c r="O98">
        <v>71</v>
      </c>
      <c r="P98" t="s">
        <v>22</v>
      </c>
      <c r="Q98" t="s">
        <v>233</v>
      </c>
    </row>
    <row r="99" spans="1:17" x14ac:dyDescent="0.3">
      <c r="A99">
        <v>1098</v>
      </c>
      <c r="B99" t="s">
        <v>234</v>
      </c>
      <c r="C99">
        <v>20</v>
      </c>
      <c r="D99" t="s">
        <v>25</v>
      </c>
      <c r="E99" t="s">
        <v>65</v>
      </c>
      <c r="F99" t="s">
        <v>31</v>
      </c>
      <c r="G99">
        <v>3</v>
      </c>
      <c r="H99" t="s">
        <v>28</v>
      </c>
      <c r="I99">
        <v>90</v>
      </c>
      <c r="J99">
        <v>57</v>
      </c>
      <c r="K99">
        <v>97</v>
      </c>
      <c r="L99">
        <v>42</v>
      </c>
      <c r="M99">
        <v>72</v>
      </c>
      <c r="N99">
        <v>87</v>
      </c>
      <c r="O99">
        <v>71</v>
      </c>
      <c r="P99" t="s">
        <v>22</v>
      </c>
      <c r="Q99" t="s">
        <v>235</v>
      </c>
    </row>
    <row r="100" spans="1:17" x14ac:dyDescent="0.3">
      <c r="A100">
        <v>1099</v>
      </c>
      <c r="B100" t="s">
        <v>236</v>
      </c>
      <c r="C100">
        <v>21</v>
      </c>
      <c r="D100" t="s">
        <v>18</v>
      </c>
      <c r="E100" t="s">
        <v>68</v>
      </c>
      <c r="F100" t="s">
        <v>35</v>
      </c>
      <c r="G100">
        <v>4</v>
      </c>
      <c r="H100" t="s">
        <v>32</v>
      </c>
      <c r="I100">
        <v>97</v>
      </c>
      <c r="J100">
        <v>68</v>
      </c>
      <c r="K100">
        <v>39</v>
      </c>
      <c r="L100">
        <v>59</v>
      </c>
      <c r="M100">
        <v>91</v>
      </c>
      <c r="N100">
        <v>96</v>
      </c>
      <c r="O100">
        <v>70.599999999999994</v>
      </c>
      <c r="P100" t="s">
        <v>22</v>
      </c>
      <c r="Q100" t="s">
        <v>237</v>
      </c>
    </row>
    <row r="101" spans="1:17" x14ac:dyDescent="0.3">
      <c r="A101">
        <v>1100</v>
      </c>
      <c r="B101" t="s">
        <v>238</v>
      </c>
      <c r="C101">
        <v>22</v>
      </c>
      <c r="D101" t="s">
        <v>25</v>
      </c>
      <c r="E101" t="s">
        <v>65</v>
      </c>
      <c r="F101" t="s">
        <v>39</v>
      </c>
      <c r="G101">
        <v>5</v>
      </c>
      <c r="H101" t="s">
        <v>36</v>
      </c>
      <c r="I101">
        <v>63</v>
      </c>
      <c r="J101">
        <v>79</v>
      </c>
      <c r="K101">
        <v>52</v>
      </c>
      <c r="L101">
        <v>76</v>
      </c>
      <c r="M101">
        <v>49</v>
      </c>
      <c r="N101">
        <v>49</v>
      </c>
      <c r="O101">
        <v>61</v>
      </c>
      <c r="P101" t="s">
        <v>22</v>
      </c>
      <c r="Q101" t="s">
        <v>239</v>
      </c>
    </row>
    <row r="102" spans="1:17" x14ac:dyDescent="0.3">
      <c r="A102">
        <v>1101</v>
      </c>
      <c r="B102" t="s">
        <v>240</v>
      </c>
      <c r="C102">
        <v>23</v>
      </c>
      <c r="D102" t="s">
        <v>18</v>
      </c>
      <c r="E102" t="s">
        <v>68</v>
      </c>
      <c r="F102" t="s">
        <v>20</v>
      </c>
      <c r="G102">
        <v>6</v>
      </c>
      <c r="H102" t="s">
        <v>40</v>
      </c>
      <c r="I102">
        <v>70</v>
      </c>
      <c r="J102">
        <v>90</v>
      </c>
      <c r="K102">
        <v>65</v>
      </c>
      <c r="L102">
        <v>93</v>
      </c>
      <c r="M102">
        <v>68</v>
      </c>
      <c r="N102">
        <v>58</v>
      </c>
      <c r="O102">
        <v>74.8</v>
      </c>
      <c r="P102" t="s">
        <v>22</v>
      </c>
      <c r="Q102" t="s">
        <v>241</v>
      </c>
    </row>
    <row r="103" spans="1:17" x14ac:dyDescent="0.3">
      <c r="A103">
        <v>1102</v>
      </c>
      <c r="B103" t="s">
        <v>242</v>
      </c>
      <c r="C103">
        <v>24</v>
      </c>
      <c r="D103" t="s">
        <v>25</v>
      </c>
      <c r="E103" t="s">
        <v>65</v>
      </c>
      <c r="F103" t="s">
        <v>27</v>
      </c>
      <c r="G103">
        <v>1</v>
      </c>
      <c r="H103" t="s">
        <v>43</v>
      </c>
      <c r="I103">
        <v>77</v>
      </c>
      <c r="J103">
        <v>35</v>
      </c>
      <c r="K103">
        <v>78</v>
      </c>
      <c r="L103">
        <v>41</v>
      </c>
      <c r="M103">
        <v>87</v>
      </c>
      <c r="N103">
        <v>67</v>
      </c>
      <c r="O103">
        <v>61.6</v>
      </c>
      <c r="P103" t="s">
        <v>22</v>
      </c>
      <c r="Q103" t="s">
        <v>243</v>
      </c>
    </row>
    <row r="104" spans="1:17" x14ac:dyDescent="0.3">
      <c r="A104">
        <v>1103</v>
      </c>
      <c r="B104" t="s">
        <v>244</v>
      </c>
      <c r="C104">
        <v>25</v>
      </c>
      <c r="D104" t="s">
        <v>18</v>
      </c>
      <c r="E104" t="s">
        <v>68</v>
      </c>
      <c r="F104" t="s">
        <v>31</v>
      </c>
      <c r="G104">
        <v>2</v>
      </c>
      <c r="H104" t="s">
        <v>47</v>
      </c>
      <c r="I104">
        <v>84</v>
      </c>
      <c r="J104">
        <v>46</v>
      </c>
      <c r="K104">
        <v>91</v>
      </c>
      <c r="L104">
        <v>58</v>
      </c>
      <c r="M104">
        <v>45</v>
      </c>
      <c r="N104">
        <v>76</v>
      </c>
      <c r="O104">
        <v>63.2</v>
      </c>
      <c r="P104" t="s">
        <v>22</v>
      </c>
      <c r="Q104" t="s">
        <v>245</v>
      </c>
    </row>
    <row r="105" spans="1:17" x14ac:dyDescent="0.3">
      <c r="A105">
        <v>1104</v>
      </c>
      <c r="B105" t="s">
        <v>246</v>
      </c>
      <c r="C105">
        <v>18</v>
      </c>
      <c r="D105" t="s">
        <v>25</v>
      </c>
      <c r="E105" t="s">
        <v>65</v>
      </c>
      <c r="F105" t="s">
        <v>35</v>
      </c>
      <c r="G105">
        <v>3</v>
      </c>
      <c r="H105" t="s">
        <v>51</v>
      </c>
      <c r="I105">
        <v>91</v>
      </c>
      <c r="J105">
        <v>57</v>
      </c>
      <c r="K105">
        <v>33</v>
      </c>
      <c r="L105">
        <v>75</v>
      </c>
      <c r="M105">
        <v>64</v>
      </c>
      <c r="N105">
        <v>85</v>
      </c>
      <c r="O105">
        <v>62.8</v>
      </c>
      <c r="P105" t="s">
        <v>58</v>
      </c>
      <c r="Q105" t="s">
        <v>247</v>
      </c>
    </row>
    <row r="106" spans="1:17" x14ac:dyDescent="0.3">
      <c r="A106">
        <v>1105</v>
      </c>
      <c r="B106" t="s">
        <v>248</v>
      </c>
      <c r="C106">
        <v>19</v>
      </c>
      <c r="D106" t="s">
        <v>18</v>
      </c>
      <c r="E106" t="s">
        <v>26</v>
      </c>
      <c r="F106" t="s">
        <v>39</v>
      </c>
      <c r="G106">
        <v>4</v>
      </c>
      <c r="H106" t="s">
        <v>21</v>
      </c>
      <c r="I106">
        <v>98</v>
      </c>
      <c r="J106">
        <v>68</v>
      </c>
      <c r="K106">
        <v>46</v>
      </c>
      <c r="L106">
        <v>92</v>
      </c>
      <c r="M106">
        <v>83</v>
      </c>
      <c r="N106">
        <v>94</v>
      </c>
      <c r="O106">
        <v>76.599999999999994</v>
      </c>
      <c r="P106" t="s">
        <v>22</v>
      </c>
      <c r="Q106" t="s">
        <v>249</v>
      </c>
    </row>
    <row r="107" spans="1:17" x14ac:dyDescent="0.3">
      <c r="A107">
        <v>1106</v>
      </c>
      <c r="B107" t="s">
        <v>250</v>
      </c>
      <c r="C107">
        <v>20</v>
      </c>
      <c r="D107" t="s">
        <v>25</v>
      </c>
      <c r="E107" t="s">
        <v>19</v>
      </c>
      <c r="F107" t="s">
        <v>20</v>
      </c>
      <c r="G107">
        <v>5</v>
      </c>
      <c r="H107" t="s">
        <v>28</v>
      </c>
      <c r="I107">
        <v>64</v>
      </c>
      <c r="J107">
        <v>79</v>
      </c>
      <c r="K107">
        <v>59</v>
      </c>
      <c r="L107">
        <v>40</v>
      </c>
      <c r="M107">
        <v>41</v>
      </c>
      <c r="N107">
        <v>47</v>
      </c>
      <c r="O107">
        <v>53.2</v>
      </c>
      <c r="P107" t="s">
        <v>22</v>
      </c>
      <c r="Q107" t="s">
        <v>251</v>
      </c>
    </row>
    <row r="108" spans="1:17" x14ac:dyDescent="0.3">
      <c r="A108">
        <v>1107</v>
      </c>
      <c r="B108" t="s">
        <v>252</v>
      </c>
      <c r="C108">
        <v>21</v>
      </c>
      <c r="D108" t="s">
        <v>18</v>
      </c>
      <c r="E108" t="s">
        <v>26</v>
      </c>
      <c r="F108" t="s">
        <v>27</v>
      </c>
      <c r="G108">
        <v>6</v>
      </c>
      <c r="H108" t="s">
        <v>32</v>
      </c>
      <c r="I108">
        <v>71</v>
      </c>
      <c r="J108">
        <v>90</v>
      </c>
      <c r="K108">
        <v>72</v>
      </c>
      <c r="L108">
        <v>57</v>
      </c>
      <c r="M108">
        <v>60</v>
      </c>
      <c r="N108">
        <v>56</v>
      </c>
      <c r="O108">
        <v>67</v>
      </c>
      <c r="P108" t="s">
        <v>22</v>
      </c>
      <c r="Q108" t="s">
        <v>253</v>
      </c>
    </row>
    <row r="109" spans="1:17" x14ac:dyDescent="0.3">
      <c r="A109">
        <v>1108</v>
      </c>
      <c r="B109" t="s">
        <v>254</v>
      </c>
      <c r="C109">
        <v>22</v>
      </c>
      <c r="D109" t="s">
        <v>25</v>
      </c>
      <c r="E109" t="s">
        <v>19</v>
      </c>
      <c r="F109" t="s">
        <v>31</v>
      </c>
      <c r="G109">
        <v>1</v>
      </c>
      <c r="H109" t="s">
        <v>36</v>
      </c>
      <c r="I109">
        <v>78</v>
      </c>
      <c r="J109">
        <v>35</v>
      </c>
      <c r="K109">
        <v>85</v>
      </c>
      <c r="L109">
        <v>74</v>
      </c>
      <c r="M109">
        <v>79</v>
      </c>
      <c r="N109">
        <v>65</v>
      </c>
      <c r="O109">
        <v>67.599999999999994</v>
      </c>
      <c r="P109" t="s">
        <v>22</v>
      </c>
      <c r="Q109" t="s">
        <v>255</v>
      </c>
    </row>
    <row r="110" spans="1:17" x14ac:dyDescent="0.3">
      <c r="A110">
        <v>1109</v>
      </c>
      <c r="B110" t="s">
        <v>256</v>
      </c>
      <c r="C110">
        <v>23</v>
      </c>
      <c r="D110" t="s">
        <v>18</v>
      </c>
      <c r="E110" t="s">
        <v>26</v>
      </c>
      <c r="F110" t="s">
        <v>35</v>
      </c>
      <c r="G110">
        <v>2</v>
      </c>
      <c r="H110" t="s">
        <v>40</v>
      </c>
      <c r="I110">
        <v>85</v>
      </c>
      <c r="J110">
        <v>46</v>
      </c>
      <c r="K110">
        <v>98</v>
      </c>
      <c r="L110">
        <v>91</v>
      </c>
      <c r="M110">
        <v>98</v>
      </c>
      <c r="N110">
        <v>74</v>
      </c>
      <c r="O110">
        <v>81.400000000000006</v>
      </c>
      <c r="P110" t="s">
        <v>22</v>
      </c>
      <c r="Q110" t="s">
        <v>257</v>
      </c>
    </row>
    <row r="111" spans="1:17" x14ac:dyDescent="0.3">
      <c r="A111">
        <v>1110</v>
      </c>
      <c r="B111" t="s">
        <v>258</v>
      </c>
      <c r="C111">
        <v>24</v>
      </c>
      <c r="D111" t="s">
        <v>25</v>
      </c>
      <c r="E111" t="s">
        <v>19</v>
      </c>
      <c r="F111" t="s">
        <v>39</v>
      </c>
      <c r="G111">
        <v>3</v>
      </c>
      <c r="H111" t="s">
        <v>43</v>
      </c>
      <c r="I111">
        <v>92</v>
      </c>
      <c r="J111">
        <v>57</v>
      </c>
      <c r="K111">
        <v>40</v>
      </c>
      <c r="L111">
        <v>39</v>
      </c>
      <c r="M111">
        <v>56</v>
      </c>
      <c r="N111">
        <v>83</v>
      </c>
      <c r="O111">
        <v>55</v>
      </c>
      <c r="P111" t="s">
        <v>22</v>
      </c>
      <c r="Q111" t="s">
        <v>259</v>
      </c>
    </row>
    <row r="112" spans="1:17" x14ac:dyDescent="0.3">
      <c r="A112">
        <v>1111</v>
      </c>
      <c r="B112" t="s">
        <v>260</v>
      </c>
      <c r="C112">
        <v>25</v>
      </c>
      <c r="D112" t="s">
        <v>18</v>
      </c>
      <c r="E112" t="s">
        <v>26</v>
      </c>
      <c r="F112" t="s">
        <v>20</v>
      </c>
      <c r="G112">
        <v>4</v>
      </c>
      <c r="H112" t="s">
        <v>47</v>
      </c>
      <c r="I112">
        <v>99</v>
      </c>
      <c r="J112">
        <v>68</v>
      </c>
      <c r="K112">
        <v>53</v>
      </c>
      <c r="L112">
        <v>56</v>
      </c>
      <c r="M112">
        <v>75</v>
      </c>
      <c r="N112">
        <v>92</v>
      </c>
      <c r="O112">
        <v>68.8</v>
      </c>
      <c r="P112" t="s">
        <v>22</v>
      </c>
      <c r="Q112" t="s">
        <v>261</v>
      </c>
    </row>
    <row r="113" spans="1:17" x14ac:dyDescent="0.3">
      <c r="A113">
        <v>1112</v>
      </c>
      <c r="B113" t="s">
        <v>262</v>
      </c>
      <c r="C113">
        <v>18</v>
      </c>
      <c r="D113" t="s">
        <v>25</v>
      </c>
      <c r="E113" t="s">
        <v>46</v>
      </c>
      <c r="F113" t="s">
        <v>27</v>
      </c>
      <c r="G113">
        <v>5</v>
      </c>
      <c r="H113" t="s">
        <v>51</v>
      </c>
      <c r="I113">
        <v>65</v>
      </c>
      <c r="J113">
        <v>79</v>
      </c>
      <c r="K113">
        <v>66</v>
      </c>
      <c r="L113">
        <v>73</v>
      </c>
      <c r="M113">
        <v>94</v>
      </c>
      <c r="N113">
        <v>45</v>
      </c>
      <c r="O113">
        <v>71.400000000000006</v>
      </c>
      <c r="P113" t="s">
        <v>22</v>
      </c>
      <c r="Q113" t="s">
        <v>263</v>
      </c>
    </row>
    <row r="114" spans="1:17" x14ac:dyDescent="0.3">
      <c r="A114">
        <v>1113</v>
      </c>
      <c r="B114" t="s">
        <v>264</v>
      </c>
      <c r="C114">
        <v>19</v>
      </c>
      <c r="D114" t="s">
        <v>18</v>
      </c>
      <c r="E114" t="s">
        <v>50</v>
      </c>
      <c r="F114" t="s">
        <v>31</v>
      </c>
      <c r="G114">
        <v>6</v>
      </c>
      <c r="H114" t="s">
        <v>21</v>
      </c>
      <c r="I114">
        <v>72</v>
      </c>
      <c r="J114">
        <v>90</v>
      </c>
      <c r="K114">
        <v>79</v>
      </c>
      <c r="L114">
        <v>90</v>
      </c>
      <c r="M114">
        <v>52</v>
      </c>
      <c r="N114">
        <v>54</v>
      </c>
      <c r="O114">
        <v>73</v>
      </c>
      <c r="P114" t="s">
        <v>22</v>
      </c>
      <c r="Q114" t="s">
        <v>265</v>
      </c>
    </row>
    <row r="115" spans="1:17" x14ac:dyDescent="0.3">
      <c r="A115">
        <v>1114</v>
      </c>
      <c r="B115" t="s">
        <v>266</v>
      </c>
      <c r="C115">
        <v>20</v>
      </c>
      <c r="D115" t="s">
        <v>25</v>
      </c>
      <c r="E115" t="s">
        <v>46</v>
      </c>
      <c r="F115" t="s">
        <v>35</v>
      </c>
      <c r="G115">
        <v>1</v>
      </c>
      <c r="H115" t="s">
        <v>28</v>
      </c>
      <c r="I115">
        <v>79</v>
      </c>
      <c r="J115">
        <v>35</v>
      </c>
      <c r="K115">
        <v>92</v>
      </c>
      <c r="L115">
        <v>38</v>
      </c>
      <c r="M115">
        <v>71</v>
      </c>
      <c r="N115">
        <v>63</v>
      </c>
      <c r="O115">
        <v>59.8</v>
      </c>
      <c r="P115" t="s">
        <v>22</v>
      </c>
      <c r="Q115" t="s">
        <v>267</v>
      </c>
    </row>
    <row r="116" spans="1:17" x14ac:dyDescent="0.3">
      <c r="A116">
        <v>1115</v>
      </c>
      <c r="B116" t="s">
        <v>268</v>
      </c>
      <c r="C116">
        <v>21</v>
      </c>
      <c r="D116" t="s">
        <v>18</v>
      </c>
      <c r="E116" t="s">
        <v>50</v>
      </c>
      <c r="F116" t="s">
        <v>39</v>
      </c>
      <c r="G116">
        <v>2</v>
      </c>
      <c r="H116" t="s">
        <v>32</v>
      </c>
      <c r="I116">
        <v>86</v>
      </c>
      <c r="J116">
        <v>46</v>
      </c>
      <c r="K116">
        <v>34</v>
      </c>
      <c r="L116">
        <v>55</v>
      </c>
      <c r="M116">
        <v>90</v>
      </c>
      <c r="N116">
        <v>72</v>
      </c>
      <c r="O116">
        <v>59.4</v>
      </c>
      <c r="P116" t="s">
        <v>58</v>
      </c>
      <c r="Q116" t="s">
        <v>269</v>
      </c>
    </row>
    <row r="117" spans="1:17" x14ac:dyDescent="0.3">
      <c r="A117">
        <v>1116</v>
      </c>
      <c r="B117" t="s">
        <v>270</v>
      </c>
      <c r="C117">
        <v>22</v>
      </c>
      <c r="D117" t="s">
        <v>25</v>
      </c>
      <c r="E117" t="s">
        <v>46</v>
      </c>
      <c r="F117" t="s">
        <v>20</v>
      </c>
      <c r="G117">
        <v>3</v>
      </c>
      <c r="H117" t="s">
        <v>36</v>
      </c>
      <c r="I117">
        <v>93</v>
      </c>
      <c r="J117">
        <v>57</v>
      </c>
      <c r="K117">
        <v>47</v>
      </c>
      <c r="L117">
        <v>72</v>
      </c>
      <c r="M117">
        <v>48</v>
      </c>
      <c r="N117">
        <v>81</v>
      </c>
      <c r="O117">
        <v>61</v>
      </c>
      <c r="P117" t="s">
        <v>22</v>
      </c>
      <c r="Q117" t="s">
        <v>271</v>
      </c>
    </row>
    <row r="118" spans="1:17" x14ac:dyDescent="0.3">
      <c r="A118">
        <v>1117</v>
      </c>
      <c r="B118" t="s">
        <v>272</v>
      </c>
      <c r="C118">
        <v>23</v>
      </c>
      <c r="D118" t="s">
        <v>18</v>
      </c>
      <c r="E118" t="s">
        <v>50</v>
      </c>
      <c r="F118" t="s">
        <v>27</v>
      </c>
      <c r="G118">
        <v>4</v>
      </c>
      <c r="H118" t="s">
        <v>40</v>
      </c>
      <c r="I118">
        <v>100</v>
      </c>
      <c r="J118">
        <v>68</v>
      </c>
      <c r="K118">
        <v>60</v>
      </c>
      <c r="L118">
        <v>89</v>
      </c>
      <c r="M118">
        <v>67</v>
      </c>
      <c r="N118">
        <v>90</v>
      </c>
      <c r="O118">
        <v>74.8</v>
      </c>
      <c r="P118" t="s">
        <v>22</v>
      </c>
      <c r="Q118" t="s">
        <v>273</v>
      </c>
    </row>
    <row r="119" spans="1:17" x14ac:dyDescent="0.3">
      <c r="A119">
        <v>1118</v>
      </c>
      <c r="B119" t="s">
        <v>274</v>
      </c>
      <c r="C119">
        <v>24</v>
      </c>
      <c r="D119" t="s">
        <v>25</v>
      </c>
      <c r="E119" t="s">
        <v>46</v>
      </c>
      <c r="F119" t="s">
        <v>31</v>
      </c>
      <c r="G119">
        <v>5</v>
      </c>
      <c r="H119" t="s">
        <v>43</v>
      </c>
      <c r="I119">
        <v>66</v>
      </c>
      <c r="J119">
        <v>79</v>
      </c>
      <c r="K119">
        <v>73</v>
      </c>
      <c r="L119">
        <v>37</v>
      </c>
      <c r="M119">
        <v>86</v>
      </c>
      <c r="N119">
        <v>99</v>
      </c>
      <c r="O119">
        <v>74.8</v>
      </c>
      <c r="P119" t="s">
        <v>22</v>
      </c>
      <c r="Q119" t="s">
        <v>275</v>
      </c>
    </row>
    <row r="120" spans="1:17" x14ac:dyDescent="0.3">
      <c r="A120">
        <v>1119</v>
      </c>
      <c r="B120" t="s">
        <v>276</v>
      </c>
      <c r="C120">
        <v>25</v>
      </c>
      <c r="D120" t="s">
        <v>18</v>
      </c>
      <c r="E120" t="s">
        <v>65</v>
      </c>
      <c r="F120" t="s">
        <v>35</v>
      </c>
      <c r="G120">
        <v>6</v>
      </c>
      <c r="H120" t="s">
        <v>47</v>
      </c>
      <c r="I120">
        <v>73</v>
      </c>
      <c r="J120">
        <v>90</v>
      </c>
      <c r="K120">
        <v>86</v>
      </c>
      <c r="L120">
        <v>54</v>
      </c>
      <c r="M120">
        <v>44</v>
      </c>
      <c r="N120">
        <v>52</v>
      </c>
      <c r="O120">
        <v>65.2</v>
      </c>
      <c r="P120" t="s">
        <v>22</v>
      </c>
      <c r="Q120" t="s">
        <v>277</v>
      </c>
    </row>
    <row r="121" spans="1:17" x14ac:dyDescent="0.3">
      <c r="A121">
        <v>1120</v>
      </c>
      <c r="B121" t="s">
        <v>278</v>
      </c>
      <c r="C121">
        <v>18</v>
      </c>
      <c r="D121" t="s">
        <v>25</v>
      </c>
      <c r="E121" t="s">
        <v>68</v>
      </c>
      <c r="F121" t="s">
        <v>39</v>
      </c>
      <c r="G121">
        <v>1</v>
      </c>
      <c r="H121" t="s">
        <v>51</v>
      </c>
      <c r="I121">
        <v>80</v>
      </c>
      <c r="J121">
        <v>35</v>
      </c>
      <c r="K121">
        <v>99</v>
      </c>
      <c r="L121">
        <v>71</v>
      </c>
      <c r="M121">
        <v>63</v>
      </c>
      <c r="N121">
        <v>61</v>
      </c>
      <c r="O121">
        <v>65.8</v>
      </c>
      <c r="P121" t="s">
        <v>22</v>
      </c>
      <c r="Q121" t="s">
        <v>279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2CD57-A2AD-455B-9A11-0D5B034E07BF}">
  <sheetPr>
    <tabColor rgb="FFC00000"/>
    <pageSetUpPr autoPageBreaks="0" fitToPage="1"/>
  </sheetPr>
  <dimension ref="A1:AE140"/>
  <sheetViews>
    <sheetView showGridLines="0" tabSelected="1" zoomScale="70" zoomScaleNormal="70" workbookViewId="0">
      <selection activeCell="AJ10" sqref="AJ10"/>
    </sheetView>
  </sheetViews>
  <sheetFormatPr defaultRowHeight="14.4" x14ac:dyDescent="0.3"/>
  <cols>
    <col min="29" max="29" width="8.88671875" style="8"/>
  </cols>
  <sheetData>
    <row r="1" spans="1:28" x14ac:dyDescent="0.3">
      <c r="A1" s="7"/>
      <c r="B1" s="7"/>
      <c r="C1" s="7"/>
      <c r="D1" s="7"/>
      <c r="E1" s="7"/>
      <c r="F1" s="7"/>
      <c r="G1" s="7"/>
      <c r="H1" s="7"/>
      <c r="I1" s="7"/>
      <c r="J1" s="7"/>
      <c r="K1" s="7"/>
      <c r="L1" s="7"/>
      <c r="M1" s="7"/>
      <c r="N1" s="7"/>
      <c r="O1" s="7"/>
      <c r="P1" s="7"/>
      <c r="Q1" s="7"/>
      <c r="R1" s="7"/>
      <c r="S1" s="7"/>
      <c r="T1" s="7"/>
      <c r="U1" s="7"/>
      <c r="V1" s="7"/>
      <c r="W1" s="7"/>
      <c r="X1" s="7"/>
      <c r="Y1" s="7"/>
      <c r="Z1" s="7"/>
      <c r="AA1" s="7"/>
      <c r="AB1" s="7"/>
    </row>
    <row r="2" spans="1:28" x14ac:dyDescent="0.3">
      <c r="A2" s="7"/>
      <c r="B2" s="7"/>
      <c r="C2" s="7"/>
      <c r="D2" s="7"/>
      <c r="E2" s="7"/>
      <c r="F2" s="7"/>
      <c r="G2" s="7"/>
      <c r="H2" s="7"/>
      <c r="I2" s="7"/>
      <c r="J2" s="7"/>
      <c r="K2" s="7"/>
      <c r="L2" s="7"/>
      <c r="M2" s="7"/>
      <c r="N2" s="7"/>
      <c r="O2" s="7"/>
      <c r="P2" s="7"/>
      <c r="Q2" s="7"/>
      <c r="R2" s="7"/>
      <c r="S2" s="7"/>
      <c r="T2" s="7"/>
      <c r="U2" s="7"/>
      <c r="V2" s="7"/>
      <c r="W2" s="7"/>
      <c r="X2" s="7"/>
      <c r="Y2" s="7"/>
      <c r="Z2" s="7"/>
      <c r="AA2" s="7"/>
      <c r="AB2" s="7"/>
    </row>
    <row r="3" spans="1:28" x14ac:dyDescent="0.3">
      <c r="A3" s="7"/>
      <c r="B3" s="7"/>
      <c r="C3" s="7"/>
      <c r="D3" s="7"/>
      <c r="E3" s="7"/>
      <c r="F3" s="7"/>
      <c r="G3" s="7"/>
      <c r="H3" s="7"/>
      <c r="I3" s="7"/>
      <c r="J3" s="7"/>
      <c r="K3" s="7"/>
      <c r="L3" s="7"/>
      <c r="M3" s="7"/>
      <c r="N3" s="7"/>
      <c r="O3" s="7"/>
      <c r="P3" s="7"/>
      <c r="Q3" s="7"/>
      <c r="R3" s="7"/>
      <c r="S3" s="7"/>
      <c r="T3" s="7"/>
      <c r="U3" s="7"/>
      <c r="V3" s="7"/>
      <c r="W3" s="7"/>
      <c r="X3" s="7"/>
      <c r="Y3" s="7"/>
      <c r="Z3" s="7"/>
      <c r="AA3" s="7"/>
      <c r="AB3" s="7"/>
    </row>
    <row r="4" spans="1:28" x14ac:dyDescent="0.3">
      <c r="A4" s="7"/>
      <c r="B4" s="7"/>
      <c r="C4" s="7"/>
      <c r="D4" s="7"/>
      <c r="E4" s="7"/>
      <c r="F4" s="7"/>
      <c r="G4" s="7"/>
      <c r="H4" s="7"/>
      <c r="I4" s="7"/>
      <c r="J4" s="7"/>
      <c r="K4" s="7"/>
      <c r="L4" s="7"/>
      <c r="M4" s="7"/>
      <c r="N4" s="7"/>
      <c r="O4" s="7"/>
      <c r="P4" s="7"/>
      <c r="Q4" s="7"/>
      <c r="R4" s="7"/>
      <c r="S4" s="7"/>
      <c r="T4" s="7"/>
      <c r="U4" s="7"/>
      <c r="V4" s="7"/>
      <c r="W4" s="7"/>
      <c r="X4" s="7"/>
      <c r="Y4" s="7"/>
      <c r="Z4" s="7"/>
      <c r="AA4" s="7"/>
      <c r="AB4" s="7"/>
    </row>
    <row r="5" spans="1:28" x14ac:dyDescent="0.3">
      <c r="A5" s="7"/>
      <c r="B5" s="7"/>
      <c r="C5" s="7"/>
      <c r="D5" s="7"/>
      <c r="E5" s="7"/>
      <c r="F5" s="7"/>
      <c r="G5" s="7"/>
      <c r="H5" s="7"/>
      <c r="I5" s="7"/>
      <c r="J5" s="7"/>
      <c r="K5" s="7"/>
      <c r="L5" s="7"/>
      <c r="M5" s="7"/>
      <c r="N5" s="7"/>
      <c r="O5" s="7"/>
      <c r="P5" s="7"/>
      <c r="Q5" s="7"/>
      <c r="R5" s="7"/>
      <c r="S5" s="7"/>
      <c r="T5" s="7"/>
      <c r="U5" s="7"/>
      <c r="V5" s="7"/>
      <c r="W5" s="7"/>
      <c r="X5" s="7"/>
      <c r="Y5" s="7"/>
      <c r="Z5" s="7"/>
      <c r="AA5" s="7"/>
      <c r="AB5" s="7"/>
    </row>
    <row r="6" spans="1:28" x14ac:dyDescent="0.3">
      <c r="A6" s="7"/>
      <c r="B6" s="7"/>
      <c r="C6" s="7"/>
      <c r="D6" s="7"/>
      <c r="E6" s="7"/>
      <c r="F6" s="7"/>
      <c r="G6" s="7"/>
      <c r="H6" s="7"/>
      <c r="I6" s="7"/>
      <c r="J6" s="7"/>
      <c r="K6" s="7"/>
      <c r="L6" s="7"/>
      <c r="M6" s="7"/>
      <c r="N6" s="7"/>
      <c r="O6" s="7"/>
      <c r="P6" s="7"/>
      <c r="Q6" s="7"/>
      <c r="R6" s="7"/>
      <c r="S6" s="7"/>
      <c r="T6" s="7"/>
      <c r="U6" s="7"/>
      <c r="V6" s="7"/>
      <c r="W6" s="7"/>
      <c r="X6" s="7"/>
      <c r="Y6" s="7"/>
      <c r="Z6" s="7"/>
      <c r="AA6" s="7"/>
      <c r="AB6" s="7"/>
    </row>
    <row r="7" spans="1:28" x14ac:dyDescent="0.3">
      <c r="A7" s="7"/>
      <c r="B7" s="7"/>
      <c r="C7" s="7"/>
      <c r="D7" s="7"/>
      <c r="E7" s="7"/>
      <c r="F7" s="7"/>
      <c r="G7" s="7"/>
      <c r="H7" s="7"/>
      <c r="I7" s="7"/>
      <c r="J7" s="7"/>
      <c r="K7" s="7"/>
      <c r="L7" s="7"/>
      <c r="M7" s="7"/>
      <c r="N7" s="7"/>
      <c r="O7" s="7"/>
      <c r="P7" s="7"/>
      <c r="Q7" s="7"/>
      <c r="R7" s="7"/>
      <c r="S7" s="7"/>
      <c r="T7" s="7"/>
      <c r="U7" s="7"/>
      <c r="V7" s="7"/>
      <c r="W7" s="7"/>
      <c r="X7" s="7"/>
      <c r="Y7" s="7"/>
      <c r="Z7" s="7"/>
      <c r="AA7" s="7"/>
      <c r="AB7" s="7"/>
    </row>
    <row r="8" spans="1:28" x14ac:dyDescent="0.3">
      <c r="A8" s="7"/>
      <c r="B8" s="7"/>
      <c r="C8" s="7"/>
      <c r="D8" s="7"/>
      <c r="E8" s="7"/>
      <c r="F8" s="7"/>
      <c r="G8" s="7"/>
      <c r="H8" s="7"/>
      <c r="I8" s="7"/>
      <c r="J8" s="7"/>
      <c r="K8" s="7"/>
      <c r="L8" s="7"/>
      <c r="M8" s="7"/>
      <c r="N8" s="7"/>
      <c r="O8" s="7"/>
      <c r="P8" s="7"/>
      <c r="Q8" s="7"/>
      <c r="R8" s="7"/>
      <c r="S8" s="7"/>
      <c r="T8" s="7"/>
      <c r="U8" s="7"/>
      <c r="V8" s="7"/>
      <c r="W8" s="7"/>
      <c r="X8" s="7"/>
      <c r="Y8" s="7"/>
      <c r="Z8" s="7"/>
      <c r="AA8" s="7"/>
      <c r="AB8" s="7"/>
    </row>
    <row r="9" spans="1:28" x14ac:dyDescent="0.3">
      <c r="A9" s="7"/>
      <c r="B9" s="7"/>
      <c r="C9" s="7"/>
      <c r="D9" s="7"/>
      <c r="E9" s="7"/>
      <c r="F9" s="7"/>
      <c r="G9" s="7"/>
      <c r="H9" s="7"/>
      <c r="I9" s="7"/>
      <c r="J9" s="7"/>
      <c r="K9" s="7"/>
      <c r="L9" s="7"/>
      <c r="M9" s="7"/>
      <c r="N9" s="7"/>
      <c r="O9" s="7"/>
      <c r="P9" s="7"/>
      <c r="Q9" s="7"/>
      <c r="R9" s="7"/>
      <c r="S9" s="7"/>
      <c r="T9" s="7"/>
      <c r="U9" s="7"/>
      <c r="V9" s="7"/>
      <c r="W9" s="7"/>
      <c r="X9" s="7"/>
      <c r="Y9" s="7"/>
      <c r="Z9" s="7"/>
      <c r="AA9" s="7"/>
      <c r="AB9" s="7"/>
    </row>
    <row r="10" spans="1:28"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row>
    <row r="11" spans="1:28"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row>
    <row r="12" spans="1:28"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row>
    <row r="13" spans="1:28"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row>
    <row r="14" spans="1:28"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row>
    <row r="15" spans="1:28"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row>
    <row r="16" spans="1:28"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row>
    <row r="17" spans="1:28"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row>
    <row r="18" spans="1:28"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row>
    <row r="19" spans="1:28"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row>
    <row r="20" spans="1:28"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row>
    <row r="21" spans="1:28"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row>
    <row r="22" spans="1:28"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row>
    <row r="23" spans="1:28"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1:28"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1:28"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1:28"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1:28"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1:28"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1:28"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1:28"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1:28"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1:28"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1:31"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1:31"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1:31"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1:31"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1:31"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row>
    <row r="38" spans="1:31"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row>
    <row r="39" spans="1:31"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row>
    <row r="40" spans="1:31"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row>
    <row r="41" spans="1:31"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row>
    <row r="42" spans="1:31"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row>
    <row r="43" spans="1:31"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row>
    <row r="45" spans="1:31"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D45" s="8"/>
      <c r="AE45" s="8"/>
    </row>
    <row r="46" spans="1:31"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D46" s="8"/>
      <c r="AE46" s="8"/>
    </row>
    <row r="47" spans="1:31"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D47" s="8"/>
      <c r="AE47" s="8"/>
    </row>
    <row r="48" spans="1:31"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D48" s="8"/>
      <c r="AE48" s="8"/>
    </row>
    <row r="49" spans="1:3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D49" s="8"/>
      <c r="AE49" s="8"/>
    </row>
    <row r="50" spans="1:31"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D50" s="8"/>
      <c r="AE50" s="8"/>
    </row>
    <row r="51" spans="1:31"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D51" s="8"/>
      <c r="AE51" s="8"/>
    </row>
    <row r="52" spans="1:31"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D52" s="8"/>
      <c r="AE52" s="8"/>
    </row>
    <row r="53" spans="1:31"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D53" s="8"/>
      <c r="AE53" s="8"/>
    </row>
    <row r="54" spans="1:31"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D54" s="8"/>
      <c r="AE54" s="8"/>
    </row>
    <row r="55" spans="1:31"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D55" s="8"/>
      <c r="AE55" s="8"/>
    </row>
    <row r="56" spans="1:31"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D56" s="8"/>
      <c r="AE56" s="8"/>
    </row>
    <row r="57" spans="1:31"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D57" s="8"/>
      <c r="AE57" s="8"/>
    </row>
    <row r="58" spans="1:31"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D58" s="8"/>
      <c r="AE58" s="8"/>
    </row>
    <row r="59" spans="1:31" x14ac:dyDescent="0.3">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D59" s="8"/>
      <c r="AE59" s="8"/>
    </row>
    <row r="60" spans="1:31" x14ac:dyDescent="0.3">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D60" s="8"/>
      <c r="AE60" s="8"/>
    </row>
    <row r="61" spans="1:31" x14ac:dyDescent="0.3">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D61" s="8"/>
      <c r="AE61" s="8"/>
    </row>
    <row r="62" spans="1:31" x14ac:dyDescent="0.3">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D62" s="8"/>
      <c r="AE62" s="8"/>
    </row>
    <row r="63" spans="1:31" x14ac:dyDescent="0.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D63" s="8"/>
      <c r="AE63" s="8"/>
    </row>
    <row r="64" spans="1:31" x14ac:dyDescent="0.3">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D64" s="8"/>
      <c r="AE64" s="8"/>
    </row>
    <row r="65" spans="1:31" x14ac:dyDescent="0.3">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D65" s="8"/>
      <c r="AE65" s="8"/>
    </row>
    <row r="66" spans="1:31" x14ac:dyDescent="0.3">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D66" s="8"/>
      <c r="AE66" s="8"/>
    </row>
    <row r="67" spans="1:31" x14ac:dyDescent="0.3">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D67" s="8"/>
      <c r="AE67" s="8"/>
    </row>
    <row r="68" spans="1:31" x14ac:dyDescent="0.3">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D68" s="8"/>
      <c r="AE68" s="8"/>
    </row>
    <row r="69" spans="1:31" x14ac:dyDescent="0.3">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D69" s="8"/>
      <c r="AE69" s="8"/>
    </row>
    <row r="70" spans="1:31" x14ac:dyDescent="0.3">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D70" s="8"/>
      <c r="AE70" s="8"/>
    </row>
    <row r="71" spans="1:31" x14ac:dyDescent="0.3">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D71" s="8"/>
      <c r="AE71" s="8"/>
    </row>
    <row r="72" spans="1:31" x14ac:dyDescent="0.3">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D72" s="8"/>
      <c r="AE72" s="8"/>
    </row>
    <row r="73" spans="1:31" x14ac:dyDescent="0.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D73" s="8"/>
      <c r="AE73" s="8"/>
    </row>
    <row r="74" spans="1:31" x14ac:dyDescent="0.3">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D74" s="8"/>
      <c r="AE74" s="8"/>
    </row>
    <row r="75" spans="1:31" x14ac:dyDescent="0.3">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D75" s="8"/>
      <c r="AE75" s="8"/>
    </row>
    <row r="76" spans="1:31" x14ac:dyDescent="0.3">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D76" s="8"/>
      <c r="AE76" s="8"/>
    </row>
    <row r="77" spans="1:31" x14ac:dyDescent="0.3">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D77" s="8"/>
      <c r="AE77" s="8"/>
    </row>
    <row r="78" spans="1:31" x14ac:dyDescent="0.3">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D78" s="8"/>
      <c r="AE78" s="8"/>
    </row>
    <row r="79" spans="1:31" x14ac:dyDescent="0.3">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D79" s="8"/>
      <c r="AE79" s="8"/>
    </row>
    <row r="80" spans="1:31" x14ac:dyDescent="0.3">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D80" s="8"/>
      <c r="AE80" s="8"/>
    </row>
    <row r="81" spans="1:31" x14ac:dyDescent="0.3">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D81" s="8"/>
      <c r="AE81" s="8"/>
    </row>
    <row r="82" spans="1:31" x14ac:dyDescent="0.3">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D82" s="8"/>
      <c r="AE82" s="8"/>
    </row>
    <row r="83" spans="1:31" x14ac:dyDescent="0.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D83" s="8"/>
      <c r="AE83" s="8"/>
    </row>
    <row r="84" spans="1:31" x14ac:dyDescent="0.3">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D84" s="8"/>
      <c r="AE84" s="8"/>
    </row>
    <row r="85" spans="1:31" x14ac:dyDescent="0.3">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D85" s="8"/>
      <c r="AE85" s="8"/>
    </row>
    <row r="86" spans="1:31" x14ac:dyDescent="0.3">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D86" s="8"/>
      <c r="AE86" s="8"/>
    </row>
    <row r="87" spans="1:31" x14ac:dyDescent="0.3">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D87" s="8"/>
      <c r="AE87" s="8"/>
    </row>
    <row r="88" spans="1:31" x14ac:dyDescent="0.3">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D88" s="8"/>
      <c r="AE88" s="8"/>
    </row>
    <row r="89" spans="1:31" x14ac:dyDescent="0.3">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D89" s="8"/>
      <c r="AE89" s="8"/>
    </row>
    <row r="90" spans="1:31" x14ac:dyDescent="0.3">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D90" s="8"/>
      <c r="AE90" s="8"/>
    </row>
    <row r="91" spans="1:31" x14ac:dyDescent="0.3">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D91" s="8"/>
      <c r="AE91" s="8"/>
    </row>
    <row r="92" spans="1:31" x14ac:dyDescent="0.3">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D92" s="8"/>
      <c r="AE92" s="8"/>
    </row>
    <row r="93" spans="1:31" x14ac:dyDescent="0.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D93" s="8"/>
      <c r="AE93" s="8"/>
    </row>
    <row r="94" spans="1:31"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D94" s="8"/>
      <c r="AE94" s="8"/>
    </row>
    <row r="95" spans="1:31" x14ac:dyDescent="0.3">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D95" s="8"/>
      <c r="AE95" s="8"/>
    </row>
    <row r="96" spans="1:31" x14ac:dyDescent="0.3">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D96" s="8"/>
      <c r="AE96" s="8"/>
    </row>
    <row r="97" spans="1:31" x14ac:dyDescent="0.3">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D97" s="8"/>
      <c r="AE97" s="8"/>
    </row>
    <row r="98" spans="1:31" x14ac:dyDescent="0.3">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D98" s="8"/>
      <c r="AE98" s="8"/>
    </row>
    <row r="99" spans="1:31" x14ac:dyDescent="0.3">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D99" s="8"/>
      <c r="AE99" s="8"/>
    </row>
    <row r="100" spans="1:31" x14ac:dyDescent="0.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D100" s="8"/>
      <c r="AE100" s="8"/>
    </row>
    <row r="101" spans="1:31" x14ac:dyDescent="0.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D101" s="8"/>
      <c r="AE101" s="8"/>
    </row>
    <row r="102" spans="1:31" x14ac:dyDescent="0.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D102" s="8"/>
      <c r="AE102" s="8"/>
    </row>
    <row r="103" spans="1:31" x14ac:dyDescent="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D103" s="8"/>
      <c r="AE103" s="8"/>
    </row>
    <row r="104" spans="1:31" x14ac:dyDescent="0.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D104" s="8"/>
      <c r="AE104" s="8"/>
    </row>
    <row r="105" spans="1:31" x14ac:dyDescent="0.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D105" s="8"/>
      <c r="AE105" s="8"/>
    </row>
    <row r="106" spans="1:31" x14ac:dyDescent="0.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D106" s="8"/>
      <c r="AE106" s="8"/>
    </row>
    <row r="107" spans="1:31" x14ac:dyDescent="0.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D107" s="8"/>
      <c r="AE107" s="8"/>
    </row>
    <row r="108" spans="1:31" x14ac:dyDescent="0.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D108" s="8"/>
      <c r="AE108" s="8"/>
    </row>
    <row r="109" spans="1:31" x14ac:dyDescent="0.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D109" s="8"/>
      <c r="AE109" s="8"/>
    </row>
    <row r="110" spans="1:31" x14ac:dyDescent="0.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D110" s="8"/>
      <c r="AE110" s="8"/>
    </row>
    <row r="111" spans="1:31" x14ac:dyDescent="0.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D111" s="8"/>
      <c r="AE111" s="8"/>
    </row>
    <row r="112" spans="1:31" x14ac:dyDescent="0.3">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D112" s="8"/>
      <c r="AE112" s="8"/>
    </row>
    <row r="113" spans="1:31" x14ac:dyDescent="0.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D113" s="8"/>
      <c r="AE113" s="8"/>
    </row>
    <row r="114" spans="1:31" x14ac:dyDescent="0.3">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D114" s="8"/>
      <c r="AE114" s="8"/>
    </row>
    <row r="115" spans="1:31" x14ac:dyDescent="0.3">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D115" s="8"/>
      <c r="AE115" s="8"/>
    </row>
    <row r="116" spans="1:31" x14ac:dyDescent="0.3">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D116" s="8"/>
      <c r="AE116" s="8"/>
    </row>
    <row r="117" spans="1:31" x14ac:dyDescent="0.3">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D117" s="8"/>
      <c r="AE117" s="8"/>
    </row>
    <row r="118" spans="1:31" x14ac:dyDescent="0.3">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D118" s="8"/>
      <c r="AE118" s="8"/>
    </row>
    <row r="119" spans="1:31" x14ac:dyDescent="0.3">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D119" s="8"/>
      <c r="AE119" s="8"/>
    </row>
    <row r="120" spans="1:31" x14ac:dyDescent="0.3">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D120" s="8"/>
      <c r="AE120" s="8"/>
    </row>
    <row r="121" spans="1:31" x14ac:dyDescent="0.3">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D121" s="8"/>
      <c r="AE121" s="8"/>
    </row>
    <row r="122" spans="1:31" x14ac:dyDescent="0.3">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D122" s="8"/>
      <c r="AE122" s="8"/>
    </row>
    <row r="123" spans="1:31" x14ac:dyDescent="0.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D123" s="8"/>
      <c r="AE123" s="8"/>
    </row>
    <row r="124" spans="1:31" x14ac:dyDescent="0.3">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D124" s="8"/>
      <c r="AE124" s="8"/>
    </row>
    <row r="125" spans="1:31" x14ac:dyDescent="0.3">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D125" s="8"/>
      <c r="AE125" s="8"/>
    </row>
    <row r="126" spans="1:31" x14ac:dyDescent="0.3">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D126" s="8"/>
      <c r="AE126" s="8"/>
    </row>
    <row r="127" spans="1:31" x14ac:dyDescent="0.3">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D127" s="8"/>
      <c r="AE127" s="8"/>
    </row>
    <row r="128" spans="1:31" x14ac:dyDescent="0.3">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D128" s="8"/>
      <c r="AE128" s="8"/>
    </row>
    <row r="129" spans="1:31" x14ac:dyDescent="0.3">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D129" s="8"/>
      <c r="AE129" s="8"/>
    </row>
    <row r="130" spans="1:31" x14ac:dyDescent="0.3">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D130" s="8"/>
      <c r="AE130" s="8"/>
    </row>
    <row r="131" spans="1:31" x14ac:dyDescent="0.3">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D131" s="8"/>
      <c r="AE131" s="8"/>
    </row>
    <row r="132" spans="1:31" x14ac:dyDescent="0.3">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D132" s="8"/>
      <c r="AE132" s="8"/>
    </row>
    <row r="133" spans="1:31" x14ac:dyDescent="0.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D133" s="8"/>
      <c r="AE133" s="8"/>
    </row>
    <row r="134" spans="1:31" x14ac:dyDescent="0.3">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D134" s="8"/>
      <c r="AE134" s="8"/>
    </row>
    <row r="135" spans="1:31" x14ac:dyDescent="0.3">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D135" s="8"/>
      <c r="AE135" s="8"/>
    </row>
    <row r="136" spans="1:31" x14ac:dyDescent="0.3">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D136" s="8"/>
      <c r="AE136" s="8"/>
    </row>
    <row r="137" spans="1:31" x14ac:dyDescent="0.3">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D137" s="8"/>
      <c r="AE137" s="8"/>
    </row>
    <row r="138" spans="1:31" x14ac:dyDescent="0.3">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D138" s="8"/>
      <c r="AE138" s="8"/>
    </row>
    <row r="139" spans="1:31" x14ac:dyDescent="0.3">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D139" s="8"/>
      <c r="AE139" s="8"/>
    </row>
    <row r="140" spans="1:31" x14ac:dyDescent="0.3">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D140" s="8"/>
      <c r="AE140" s="8"/>
    </row>
  </sheetData>
  <pageMargins left="0.70866141732283472" right="0.70866141732283472" top="0.74803149606299213" bottom="0.74803149606299213" header="0.31496062992125984" footer="0.31496062992125984"/>
  <pageSetup scale="24"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8FF91-25A0-4476-A104-1492EED2A8D0}">
  <sheetPr>
    <tabColor theme="3" tint="0.39997558519241921"/>
  </sheetPr>
  <dimension ref="A2:H33"/>
  <sheetViews>
    <sheetView workbookViewId="0">
      <selection activeCell="H3" sqref="H3"/>
      <pivotSelection pane="bottomRight" showHeader="1" extendable="1" activeRow="2" activeCol="7" previousRow="2" previousCol="7" click="1" r:id="rId3">
        <pivotArea dataOnly="0" outline="0" axis="axisValues" fieldPosition="0"/>
      </pivotSelection>
    </sheetView>
  </sheetViews>
  <sheetFormatPr defaultRowHeight="14.4" x14ac:dyDescent="0.3"/>
  <cols>
    <col min="1" max="1" width="15.77734375" bestFit="1" customWidth="1"/>
    <col min="2" max="2" width="28.21875" bestFit="1" customWidth="1"/>
    <col min="3" max="3" width="20.21875" bestFit="1" customWidth="1"/>
    <col min="4" max="4" width="23.21875" bestFit="1" customWidth="1"/>
    <col min="5" max="5" width="21.33203125" bestFit="1" customWidth="1"/>
    <col min="6" max="6" width="30.77734375" bestFit="1" customWidth="1"/>
    <col min="7" max="8" width="28.21875" bestFit="1" customWidth="1"/>
    <col min="9" max="9" width="30.77734375" bestFit="1" customWidth="1"/>
    <col min="10" max="10" width="3" bestFit="1" customWidth="1"/>
    <col min="11" max="14" width="5" bestFit="1" customWidth="1"/>
    <col min="15" max="15" width="3" bestFit="1" customWidth="1"/>
    <col min="16" max="20" width="5" bestFit="1" customWidth="1"/>
    <col min="21" max="21" width="3" bestFit="1" customWidth="1"/>
    <col min="22" max="28" width="5" bestFit="1" customWidth="1"/>
    <col min="29" max="29" width="3" bestFit="1" customWidth="1"/>
    <col min="30" max="30" width="5" bestFit="1" customWidth="1"/>
    <col min="31" max="31" width="3" bestFit="1" customWidth="1"/>
    <col min="32" max="33" width="5" bestFit="1" customWidth="1"/>
    <col min="34" max="34" width="3" bestFit="1" customWidth="1"/>
    <col min="35" max="37" width="5" bestFit="1" customWidth="1"/>
    <col min="38" max="38" width="3" bestFit="1" customWidth="1"/>
    <col min="39" max="45" width="5" bestFit="1" customWidth="1"/>
    <col min="46" max="46" width="3" bestFit="1" customWidth="1"/>
    <col min="47" max="49" width="5" bestFit="1" customWidth="1"/>
    <col min="50" max="50" width="3" bestFit="1" customWidth="1"/>
    <col min="51" max="54" width="5" bestFit="1" customWidth="1"/>
    <col min="55" max="55" width="3" bestFit="1" customWidth="1"/>
    <col min="56" max="56" width="5" bestFit="1" customWidth="1"/>
    <col min="57" max="57" width="3" bestFit="1" customWidth="1"/>
    <col min="58" max="62" width="5" bestFit="1" customWidth="1"/>
    <col min="63" max="63" width="3" bestFit="1" customWidth="1"/>
    <col min="64" max="67" width="5" bestFit="1" customWidth="1"/>
    <col min="68" max="68" width="3" bestFit="1" customWidth="1"/>
    <col min="69" max="76" width="5" bestFit="1" customWidth="1"/>
    <col min="77" max="77" width="10.77734375" bestFit="1" customWidth="1"/>
  </cols>
  <sheetData>
    <row r="2" spans="1:8" x14ac:dyDescent="0.3">
      <c r="A2" s="2" t="s">
        <v>280</v>
      </c>
      <c r="B2" t="s">
        <v>285</v>
      </c>
      <c r="C2" t="s">
        <v>286</v>
      </c>
      <c r="D2" t="s">
        <v>288</v>
      </c>
    </row>
    <row r="3" spans="1:8" x14ac:dyDescent="0.3">
      <c r="A3" s="3" t="s">
        <v>27</v>
      </c>
      <c r="B3" s="10">
        <v>63.916666666666664</v>
      </c>
      <c r="C3" s="10">
        <v>68.875</v>
      </c>
      <c r="D3" s="10">
        <v>72.5</v>
      </c>
      <c r="H3" t="s">
        <v>282</v>
      </c>
    </row>
    <row r="4" spans="1:8" x14ac:dyDescent="0.3">
      <c r="A4" s="3" t="s">
        <v>20</v>
      </c>
      <c r="B4" s="10">
        <v>62.75</v>
      </c>
      <c r="C4" s="10">
        <v>66.25</v>
      </c>
      <c r="D4" s="10">
        <v>68.75</v>
      </c>
      <c r="H4" s="10">
        <v>67.413333333333355</v>
      </c>
    </row>
    <row r="5" spans="1:8" x14ac:dyDescent="0.3">
      <c r="A5" s="3" t="s">
        <v>31</v>
      </c>
      <c r="B5" s="10">
        <v>65.083333333333329</v>
      </c>
      <c r="C5" s="10">
        <v>68.625</v>
      </c>
      <c r="D5" s="10">
        <v>71.166666666666671</v>
      </c>
    </row>
    <row r="6" spans="1:8" x14ac:dyDescent="0.3">
      <c r="A6" s="3" t="s">
        <v>39</v>
      </c>
      <c r="B6" s="10">
        <v>67.416666666666671</v>
      </c>
      <c r="C6" s="10">
        <v>65.25</v>
      </c>
      <c r="D6" s="10">
        <v>68.5</v>
      </c>
    </row>
    <row r="7" spans="1:8" x14ac:dyDescent="0.3">
      <c r="A7" s="3" t="s">
        <v>35</v>
      </c>
      <c r="B7" s="10">
        <v>66.25</v>
      </c>
      <c r="C7" s="10">
        <v>65.5</v>
      </c>
      <c r="D7" s="10">
        <v>69.833333333333329</v>
      </c>
      <c r="H7" t="s">
        <v>289</v>
      </c>
    </row>
    <row r="8" spans="1:8" x14ac:dyDescent="0.3">
      <c r="A8" s="3" t="s">
        <v>281</v>
      </c>
      <c r="B8" s="10">
        <v>65.083333333333329</v>
      </c>
      <c r="C8" s="10">
        <v>66.900000000000006</v>
      </c>
      <c r="D8" s="10">
        <v>70.150000000000006</v>
      </c>
      <c r="H8" s="6">
        <v>79.99166666666666</v>
      </c>
    </row>
    <row r="10" spans="1:8" x14ac:dyDescent="0.3">
      <c r="A10" s="2" t="s">
        <v>280</v>
      </c>
      <c r="B10" t="s">
        <v>283</v>
      </c>
    </row>
    <row r="11" spans="1:8" x14ac:dyDescent="0.3">
      <c r="A11" s="3" t="s">
        <v>58</v>
      </c>
      <c r="B11" s="10">
        <v>12</v>
      </c>
      <c r="H11" t="s">
        <v>290</v>
      </c>
    </row>
    <row r="12" spans="1:8" x14ac:dyDescent="0.3">
      <c r="A12" s="3" t="s">
        <v>22</v>
      </c>
      <c r="B12" s="10">
        <v>108</v>
      </c>
      <c r="H12" s="5">
        <f>COUNTIF(Table1[Result_Status],"Pass")/COUNTA(Table1[Student_ID])</f>
        <v>0.9</v>
      </c>
    </row>
    <row r="13" spans="1:8" x14ac:dyDescent="0.3">
      <c r="A13" s="3" t="s">
        <v>281</v>
      </c>
      <c r="B13" s="10">
        <v>120</v>
      </c>
    </row>
    <row r="14" spans="1:8" x14ac:dyDescent="0.3">
      <c r="H14" t="s">
        <v>291</v>
      </c>
    </row>
    <row r="15" spans="1:8" x14ac:dyDescent="0.3">
      <c r="A15" t="s">
        <v>283</v>
      </c>
      <c r="H15">
        <v>89.8</v>
      </c>
    </row>
    <row r="16" spans="1:8" x14ac:dyDescent="0.3">
      <c r="A16" s="10">
        <v>120</v>
      </c>
      <c r="C16">
        <f>GETPIVOTDATA("Student_ID",$A$15)</f>
        <v>120</v>
      </c>
    </row>
    <row r="17" spans="1:8" x14ac:dyDescent="0.3">
      <c r="H17" s="9">
        <f>COUNTIF(Table1[Attendance_Percent],"&lt;75")</f>
        <v>44</v>
      </c>
    </row>
    <row r="18" spans="1:8" x14ac:dyDescent="0.3">
      <c r="A18" s="2" t="s">
        <v>280</v>
      </c>
      <c r="B18" t="s">
        <v>284</v>
      </c>
      <c r="C18" t="s">
        <v>285</v>
      </c>
      <c r="D18" t="s">
        <v>286</v>
      </c>
      <c r="E18" t="s">
        <v>288</v>
      </c>
      <c r="F18" t="s">
        <v>287</v>
      </c>
    </row>
    <row r="19" spans="1:8" x14ac:dyDescent="0.3">
      <c r="A19" s="3">
        <v>1</v>
      </c>
      <c r="B19" s="10">
        <v>35</v>
      </c>
      <c r="C19" s="10">
        <v>68</v>
      </c>
      <c r="D19" s="10">
        <v>68</v>
      </c>
      <c r="E19" s="10">
        <v>71.900000000000006</v>
      </c>
      <c r="F19" s="10">
        <v>80</v>
      </c>
      <c r="G19" s="4"/>
    </row>
    <row r="20" spans="1:8" x14ac:dyDescent="0.3">
      <c r="A20" s="3">
        <v>2</v>
      </c>
      <c r="B20" s="10">
        <v>46</v>
      </c>
      <c r="C20" s="10">
        <v>66.900000000000006</v>
      </c>
      <c r="D20" s="10">
        <v>65.8</v>
      </c>
      <c r="E20" s="10">
        <v>68.400000000000006</v>
      </c>
      <c r="F20" s="10">
        <v>77</v>
      </c>
    </row>
    <row r="21" spans="1:8" x14ac:dyDescent="0.3">
      <c r="A21" s="3">
        <v>3</v>
      </c>
      <c r="B21" s="10">
        <v>57</v>
      </c>
      <c r="C21" s="10">
        <v>65.7</v>
      </c>
      <c r="D21" s="10">
        <v>69</v>
      </c>
      <c r="E21" s="10">
        <v>69.099999999999994</v>
      </c>
      <c r="F21" s="10">
        <v>72</v>
      </c>
    </row>
    <row r="22" spans="1:8" x14ac:dyDescent="0.3">
      <c r="A22" s="3">
        <v>4</v>
      </c>
      <c r="B22" s="10">
        <v>68</v>
      </c>
      <c r="C22" s="10">
        <v>64.5</v>
      </c>
      <c r="D22" s="10">
        <v>65.3</v>
      </c>
      <c r="E22" s="10">
        <v>72.849999999999994</v>
      </c>
      <c r="F22" s="10">
        <v>69.8</v>
      </c>
    </row>
    <row r="23" spans="1:8" x14ac:dyDescent="0.3">
      <c r="A23" s="3">
        <v>5</v>
      </c>
      <c r="B23" s="10">
        <v>79</v>
      </c>
      <c r="C23" s="10">
        <v>63.3</v>
      </c>
      <c r="D23" s="10">
        <v>68.5</v>
      </c>
      <c r="E23" s="10">
        <v>70.5</v>
      </c>
      <c r="F23" s="10">
        <v>64.8</v>
      </c>
    </row>
    <row r="24" spans="1:8" x14ac:dyDescent="0.3">
      <c r="A24" s="3">
        <v>6</v>
      </c>
      <c r="B24" s="10">
        <v>90</v>
      </c>
      <c r="C24" s="10">
        <v>62.1</v>
      </c>
      <c r="D24" s="10">
        <v>64.8</v>
      </c>
      <c r="E24" s="10">
        <v>68.150000000000006</v>
      </c>
      <c r="F24" s="10">
        <v>71</v>
      </c>
    </row>
    <row r="25" spans="1:8" x14ac:dyDescent="0.3">
      <c r="A25" s="3" t="s">
        <v>281</v>
      </c>
      <c r="B25" s="10">
        <v>62.5</v>
      </c>
      <c r="C25" s="10">
        <v>65.083333333333329</v>
      </c>
      <c r="D25" s="10">
        <v>66.900000000000006</v>
      </c>
      <c r="E25" s="10">
        <v>70.150000000000006</v>
      </c>
      <c r="F25" s="10">
        <v>72.433333333333337</v>
      </c>
    </row>
    <row r="27" spans="1:8" x14ac:dyDescent="0.3">
      <c r="A27" s="2" t="s">
        <v>280</v>
      </c>
      <c r="B27" t="s">
        <v>289</v>
      </c>
    </row>
    <row r="28" spans="1:8" x14ac:dyDescent="0.3">
      <c r="A28" s="3" t="s">
        <v>27</v>
      </c>
      <c r="B28" s="10">
        <v>78.458333333333329</v>
      </c>
    </row>
    <row r="29" spans="1:8" x14ac:dyDescent="0.3">
      <c r="A29" s="3" t="s">
        <v>20</v>
      </c>
      <c r="B29" s="10">
        <v>80</v>
      </c>
    </row>
    <row r="30" spans="1:8" x14ac:dyDescent="0.3">
      <c r="A30" s="3" t="s">
        <v>31</v>
      </c>
      <c r="B30" s="10">
        <v>78.625</v>
      </c>
    </row>
    <row r="31" spans="1:8" x14ac:dyDescent="0.3">
      <c r="A31" s="3" t="s">
        <v>39</v>
      </c>
      <c r="B31" s="10">
        <v>82.375</v>
      </c>
    </row>
    <row r="32" spans="1:8" x14ac:dyDescent="0.3">
      <c r="A32" s="3" t="s">
        <v>35</v>
      </c>
      <c r="B32" s="10">
        <v>80.5</v>
      </c>
    </row>
    <row r="33" spans="1:2" x14ac:dyDescent="0.3">
      <c r="A33" s="3" t="s">
        <v>281</v>
      </c>
      <c r="B33" s="10">
        <v>79.99166666666666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 Raw Data</vt:lpstr>
      <vt:lpstr>Dashboard</vt:lpstr>
      <vt:lpstr>Student_Pivot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Sujal Aling</cp:lastModifiedBy>
  <cp:lastPrinted>2026-10-16T18:58:42Z</cp:lastPrinted>
  <dcterms:created xsi:type="dcterms:W3CDTF">2026-10-13T06:54:14Z</dcterms:created>
  <dcterms:modified xsi:type="dcterms:W3CDTF">2026-10-16T19:17:27Z</dcterms:modified>
</cp:coreProperties>
</file>